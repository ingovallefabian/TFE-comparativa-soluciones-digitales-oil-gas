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PCO\Downloads\"/>
    </mc:Choice>
  </mc:AlternateContent>
  <xr:revisionPtr revIDLastSave="0" documentId="13_ncr:1_{A5D36FB3-7269-4AEB-88F5-BD06D9211DBB}" xr6:coauthVersionLast="47" xr6:coauthVersionMax="47" xr10:uidLastSave="{00000000-0000-0000-0000-000000000000}"/>
  <bookViews>
    <workbookView xWindow="-120" yWindow="-120" windowWidth="29040" windowHeight="15720" tabRatio="500" activeTab="6" xr2:uid="{00000000-000D-0000-FFFF-FFFF00000000}"/>
  </bookViews>
  <sheets>
    <sheet name="Resumen" sheetId="1" r:id="rId1"/>
    <sheet name="Civil" sheetId="3" r:id="rId2"/>
    <sheet name="Mecánica estática" sheetId="4" r:id="rId3"/>
    <sheet name="Rotativa" sheetId="5" r:id="rId4"/>
    <sheet name="Instrumentación" sheetId="6" r:id="rId5"/>
    <sheet name="Eléctrica" sheetId="7" r:id="rId6"/>
    <sheet name="Cálculo_Indicadores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9" i="7" l="1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119" i="7" s="1"/>
  <c r="I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119" i="6" s="1"/>
  <c r="I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81" i="5" s="1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I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272" i="4" s="1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I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196" i="3" s="1"/>
  <c r="K766" i="2"/>
  <c r="I766" i="2"/>
  <c r="J766" i="2" s="1"/>
  <c r="K765" i="2"/>
  <c r="I765" i="2"/>
  <c r="J765" i="2" s="1"/>
  <c r="K764" i="2"/>
  <c r="I764" i="2"/>
  <c r="J764" i="2" s="1"/>
  <c r="K763" i="2"/>
  <c r="I763" i="2"/>
  <c r="J763" i="2" s="1"/>
  <c r="K762" i="2"/>
  <c r="I762" i="2"/>
  <c r="J762" i="2" s="1"/>
  <c r="K761" i="2"/>
  <c r="I761" i="2"/>
  <c r="J761" i="2" s="1"/>
  <c r="K760" i="2"/>
  <c r="I760" i="2"/>
  <c r="J760" i="2" s="1"/>
  <c r="K759" i="2"/>
  <c r="I759" i="2"/>
  <c r="J759" i="2" s="1"/>
  <c r="K758" i="2"/>
  <c r="I758" i="2"/>
  <c r="J758" i="2" s="1"/>
  <c r="K757" i="2"/>
  <c r="I757" i="2"/>
  <c r="J757" i="2" s="1"/>
  <c r="K756" i="2"/>
  <c r="I756" i="2"/>
  <c r="J756" i="2" s="1"/>
  <c r="K755" i="2"/>
  <c r="I755" i="2"/>
  <c r="J755" i="2" s="1"/>
  <c r="K754" i="2"/>
  <c r="I754" i="2"/>
  <c r="J754" i="2" s="1"/>
  <c r="K753" i="2"/>
  <c r="I753" i="2"/>
  <c r="J753" i="2" s="1"/>
  <c r="K752" i="2"/>
  <c r="I752" i="2"/>
  <c r="J752" i="2" s="1"/>
  <c r="K751" i="2"/>
  <c r="I751" i="2"/>
  <c r="J751" i="2" s="1"/>
  <c r="K750" i="2"/>
  <c r="I750" i="2"/>
  <c r="J750" i="2" s="1"/>
  <c r="K749" i="2"/>
  <c r="I749" i="2"/>
  <c r="J749" i="2" s="1"/>
  <c r="K748" i="2"/>
  <c r="I748" i="2"/>
  <c r="J748" i="2" s="1"/>
  <c r="K747" i="2"/>
  <c r="I747" i="2"/>
  <c r="J747" i="2" s="1"/>
  <c r="K746" i="2"/>
  <c r="I746" i="2"/>
  <c r="J746" i="2" s="1"/>
  <c r="K745" i="2"/>
  <c r="I745" i="2"/>
  <c r="J745" i="2" s="1"/>
  <c r="K744" i="2"/>
  <c r="I744" i="2"/>
  <c r="J744" i="2" s="1"/>
  <c r="K743" i="2"/>
  <c r="I743" i="2"/>
  <c r="J743" i="2" s="1"/>
  <c r="K742" i="2"/>
  <c r="I742" i="2"/>
  <c r="J742" i="2" s="1"/>
  <c r="K741" i="2"/>
  <c r="I741" i="2"/>
  <c r="J741" i="2" s="1"/>
  <c r="K740" i="2"/>
  <c r="I740" i="2"/>
  <c r="J740" i="2" s="1"/>
  <c r="K739" i="2"/>
  <c r="I739" i="2"/>
  <c r="J739" i="2" s="1"/>
  <c r="K738" i="2"/>
  <c r="I738" i="2"/>
  <c r="J738" i="2" s="1"/>
  <c r="K737" i="2"/>
  <c r="I737" i="2"/>
  <c r="J737" i="2" s="1"/>
  <c r="K736" i="2"/>
  <c r="I736" i="2"/>
  <c r="J736" i="2" s="1"/>
  <c r="K735" i="2"/>
  <c r="I735" i="2"/>
  <c r="J735" i="2" s="1"/>
  <c r="K734" i="2"/>
  <c r="I734" i="2"/>
  <c r="J734" i="2" s="1"/>
  <c r="K733" i="2"/>
  <c r="I733" i="2"/>
  <c r="J733" i="2" s="1"/>
  <c r="K732" i="2"/>
  <c r="I732" i="2"/>
  <c r="J732" i="2" s="1"/>
  <c r="K731" i="2"/>
  <c r="I731" i="2"/>
  <c r="J731" i="2" s="1"/>
  <c r="K730" i="2"/>
  <c r="I730" i="2"/>
  <c r="J730" i="2" s="1"/>
  <c r="K729" i="2"/>
  <c r="I729" i="2"/>
  <c r="J729" i="2" s="1"/>
  <c r="K728" i="2"/>
  <c r="I728" i="2"/>
  <c r="J728" i="2" s="1"/>
  <c r="K727" i="2"/>
  <c r="I727" i="2"/>
  <c r="J727" i="2" s="1"/>
  <c r="K726" i="2"/>
  <c r="I726" i="2"/>
  <c r="J726" i="2" s="1"/>
  <c r="K725" i="2"/>
  <c r="I725" i="2"/>
  <c r="J725" i="2" s="1"/>
  <c r="K724" i="2"/>
  <c r="I724" i="2"/>
  <c r="J724" i="2" s="1"/>
  <c r="K723" i="2"/>
  <c r="I723" i="2"/>
  <c r="J723" i="2" s="1"/>
  <c r="K722" i="2"/>
  <c r="I722" i="2"/>
  <c r="J722" i="2" s="1"/>
  <c r="K721" i="2"/>
  <c r="I721" i="2"/>
  <c r="J721" i="2" s="1"/>
  <c r="K720" i="2"/>
  <c r="I720" i="2"/>
  <c r="J720" i="2" s="1"/>
  <c r="K719" i="2"/>
  <c r="I719" i="2"/>
  <c r="J719" i="2" s="1"/>
  <c r="K718" i="2"/>
  <c r="I718" i="2"/>
  <c r="J718" i="2" s="1"/>
  <c r="K717" i="2"/>
  <c r="I717" i="2"/>
  <c r="J717" i="2" s="1"/>
  <c r="K716" i="2"/>
  <c r="I716" i="2"/>
  <c r="J716" i="2" s="1"/>
  <c r="K715" i="2"/>
  <c r="I715" i="2"/>
  <c r="J715" i="2" s="1"/>
  <c r="K714" i="2"/>
  <c r="I714" i="2"/>
  <c r="J714" i="2" s="1"/>
  <c r="K713" i="2"/>
  <c r="I713" i="2"/>
  <c r="J713" i="2" s="1"/>
  <c r="K712" i="2"/>
  <c r="I712" i="2"/>
  <c r="J712" i="2" s="1"/>
  <c r="K711" i="2"/>
  <c r="I711" i="2"/>
  <c r="J711" i="2" s="1"/>
  <c r="K710" i="2"/>
  <c r="I710" i="2"/>
  <c r="J710" i="2" s="1"/>
  <c r="K709" i="2"/>
  <c r="I709" i="2"/>
  <c r="J709" i="2" s="1"/>
  <c r="K708" i="2"/>
  <c r="I708" i="2"/>
  <c r="J708" i="2" s="1"/>
  <c r="K707" i="2"/>
  <c r="I707" i="2"/>
  <c r="J707" i="2" s="1"/>
  <c r="K706" i="2"/>
  <c r="I706" i="2"/>
  <c r="J706" i="2" s="1"/>
  <c r="K705" i="2"/>
  <c r="I705" i="2"/>
  <c r="J705" i="2" s="1"/>
  <c r="K704" i="2"/>
  <c r="I704" i="2"/>
  <c r="J704" i="2" s="1"/>
  <c r="K703" i="2"/>
  <c r="I703" i="2"/>
  <c r="J703" i="2" s="1"/>
  <c r="K702" i="2"/>
  <c r="I702" i="2"/>
  <c r="J702" i="2" s="1"/>
  <c r="K701" i="2"/>
  <c r="I701" i="2"/>
  <c r="J701" i="2" s="1"/>
  <c r="K700" i="2"/>
  <c r="I700" i="2"/>
  <c r="J700" i="2" s="1"/>
  <c r="K699" i="2"/>
  <c r="I699" i="2"/>
  <c r="J699" i="2" s="1"/>
  <c r="K698" i="2"/>
  <c r="I698" i="2"/>
  <c r="J698" i="2" s="1"/>
  <c r="K697" i="2"/>
  <c r="I697" i="2"/>
  <c r="J697" i="2" s="1"/>
  <c r="K696" i="2"/>
  <c r="I696" i="2"/>
  <c r="J696" i="2" s="1"/>
  <c r="K695" i="2"/>
  <c r="I695" i="2"/>
  <c r="J695" i="2" s="1"/>
  <c r="K694" i="2"/>
  <c r="I694" i="2"/>
  <c r="J694" i="2" s="1"/>
  <c r="K693" i="2"/>
  <c r="I693" i="2"/>
  <c r="J693" i="2" s="1"/>
  <c r="K692" i="2"/>
  <c r="I692" i="2"/>
  <c r="J692" i="2" s="1"/>
  <c r="K691" i="2"/>
  <c r="I691" i="2"/>
  <c r="J691" i="2" s="1"/>
  <c r="O17" i="2" s="1"/>
  <c r="K690" i="2"/>
  <c r="I690" i="2"/>
  <c r="J690" i="2" s="1"/>
  <c r="K689" i="2"/>
  <c r="I689" i="2"/>
  <c r="J689" i="2" s="1"/>
  <c r="K688" i="2"/>
  <c r="I688" i="2"/>
  <c r="J688" i="2" s="1"/>
  <c r="K687" i="2"/>
  <c r="I687" i="2"/>
  <c r="J687" i="2" s="1"/>
  <c r="K686" i="2"/>
  <c r="I686" i="2"/>
  <c r="J686" i="2" s="1"/>
  <c r="K685" i="2"/>
  <c r="I685" i="2"/>
  <c r="J685" i="2" s="1"/>
  <c r="K684" i="2"/>
  <c r="I684" i="2"/>
  <c r="J684" i="2" s="1"/>
  <c r="K683" i="2"/>
  <c r="I683" i="2"/>
  <c r="J683" i="2" s="1"/>
  <c r="K682" i="2"/>
  <c r="I682" i="2"/>
  <c r="J682" i="2" s="1"/>
  <c r="K681" i="2"/>
  <c r="J681" i="2"/>
  <c r="I681" i="2"/>
  <c r="K680" i="2"/>
  <c r="I680" i="2"/>
  <c r="J680" i="2" s="1"/>
  <c r="K679" i="2"/>
  <c r="I679" i="2"/>
  <c r="J679" i="2" s="1"/>
  <c r="K678" i="2"/>
  <c r="I678" i="2"/>
  <c r="J678" i="2" s="1"/>
  <c r="K677" i="2"/>
  <c r="I677" i="2"/>
  <c r="J677" i="2" s="1"/>
  <c r="K676" i="2"/>
  <c r="I676" i="2"/>
  <c r="J676" i="2" s="1"/>
  <c r="K675" i="2"/>
  <c r="I675" i="2"/>
  <c r="J675" i="2" s="1"/>
  <c r="K674" i="2"/>
  <c r="I674" i="2"/>
  <c r="J674" i="2" s="1"/>
  <c r="K673" i="2"/>
  <c r="I673" i="2"/>
  <c r="J673" i="2" s="1"/>
  <c r="K672" i="2"/>
  <c r="I672" i="2"/>
  <c r="J672" i="2" s="1"/>
  <c r="K671" i="2"/>
  <c r="I671" i="2"/>
  <c r="J671" i="2" s="1"/>
  <c r="K670" i="2"/>
  <c r="I670" i="2"/>
  <c r="J670" i="2" s="1"/>
  <c r="K669" i="2"/>
  <c r="I669" i="2"/>
  <c r="J669" i="2" s="1"/>
  <c r="K668" i="2"/>
  <c r="I668" i="2"/>
  <c r="J668" i="2" s="1"/>
  <c r="K667" i="2"/>
  <c r="I667" i="2"/>
  <c r="J667" i="2" s="1"/>
  <c r="K666" i="2"/>
  <c r="I666" i="2"/>
  <c r="J666" i="2" s="1"/>
  <c r="K665" i="2"/>
  <c r="I665" i="2"/>
  <c r="J665" i="2" s="1"/>
  <c r="K664" i="2"/>
  <c r="I664" i="2"/>
  <c r="J664" i="2" s="1"/>
  <c r="K663" i="2"/>
  <c r="I663" i="2"/>
  <c r="J663" i="2" s="1"/>
  <c r="K662" i="2"/>
  <c r="I662" i="2"/>
  <c r="J662" i="2" s="1"/>
  <c r="K661" i="2"/>
  <c r="I661" i="2"/>
  <c r="J661" i="2" s="1"/>
  <c r="K660" i="2"/>
  <c r="I660" i="2"/>
  <c r="J660" i="2" s="1"/>
  <c r="K659" i="2"/>
  <c r="I659" i="2"/>
  <c r="J659" i="2" s="1"/>
  <c r="K658" i="2"/>
  <c r="I658" i="2"/>
  <c r="J658" i="2" s="1"/>
  <c r="K657" i="2"/>
  <c r="I657" i="2"/>
  <c r="J657" i="2" s="1"/>
  <c r="K656" i="2"/>
  <c r="I656" i="2"/>
  <c r="J656" i="2" s="1"/>
  <c r="K655" i="2"/>
  <c r="I655" i="2"/>
  <c r="J655" i="2" s="1"/>
  <c r="K654" i="2"/>
  <c r="I654" i="2"/>
  <c r="J654" i="2" s="1"/>
  <c r="K653" i="2"/>
  <c r="I653" i="2"/>
  <c r="J653" i="2" s="1"/>
  <c r="K652" i="2"/>
  <c r="I652" i="2"/>
  <c r="J652" i="2" s="1"/>
  <c r="K651" i="2"/>
  <c r="I651" i="2"/>
  <c r="J651" i="2" s="1"/>
  <c r="K650" i="2"/>
  <c r="I650" i="2"/>
  <c r="J650" i="2" s="1"/>
  <c r="K649" i="2"/>
  <c r="I649" i="2"/>
  <c r="J649" i="2" s="1"/>
  <c r="K648" i="2"/>
  <c r="I648" i="2"/>
  <c r="J648" i="2" s="1"/>
  <c r="K647" i="2"/>
  <c r="I647" i="2"/>
  <c r="J647" i="2" s="1"/>
  <c r="K646" i="2"/>
  <c r="I646" i="2"/>
  <c r="J646" i="2" s="1"/>
  <c r="K645" i="2"/>
  <c r="I645" i="2"/>
  <c r="J645" i="2" s="1"/>
  <c r="K644" i="2"/>
  <c r="I644" i="2"/>
  <c r="J644" i="2" s="1"/>
  <c r="K643" i="2"/>
  <c r="I643" i="2"/>
  <c r="J643" i="2" s="1"/>
  <c r="K642" i="2"/>
  <c r="I642" i="2"/>
  <c r="J642" i="2" s="1"/>
  <c r="K641" i="2"/>
  <c r="I641" i="2"/>
  <c r="J641" i="2" s="1"/>
  <c r="K640" i="2"/>
  <c r="I640" i="2"/>
  <c r="J640" i="2" s="1"/>
  <c r="K639" i="2"/>
  <c r="I639" i="2"/>
  <c r="J639" i="2" s="1"/>
  <c r="K638" i="2"/>
  <c r="I638" i="2"/>
  <c r="J638" i="2" s="1"/>
  <c r="K637" i="2"/>
  <c r="I637" i="2"/>
  <c r="J637" i="2" s="1"/>
  <c r="K636" i="2"/>
  <c r="I636" i="2"/>
  <c r="J636" i="2" s="1"/>
  <c r="K635" i="2"/>
  <c r="I635" i="2"/>
  <c r="J635" i="2" s="1"/>
  <c r="K634" i="2"/>
  <c r="I634" i="2"/>
  <c r="J634" i="2" s="1"/>
  <c r="K633" i="2"/>
  <c r="I633" i="2"/>
  <c r="J633" i="2" s="1"/>
  <c r="K632" i="2"/>
  <c r="I632" i="2"/>
  <c r="J632" i="2" s="1"/>
  <c r="K631" i="2"/>
  <c r="I631" i="2"/>
  <c r="J631" i="2" s="1"/>
  <c r="K630" i="2"/>
  <c r="I630" i="2"/>
  <c r="J630" i="2" s="1"/>
  <c r="K629" i="2"/>
  <c r="I629" i="2"/>
  <c r="J629" i="2" s="1"/>
  <c r="K628" i="2"/>
  <c r="I628" i="2"/>
  <c r="J628" i="2" s="1"/>
  <c r="K627" i="2"/>
  <c r="I627" i="2"/>
  <c r="J627" i="2" s="1"/>
  <c r="K626" i="2"/>
  <c r="I626" i="2"/>
  <c r="J626" i="2" s="1"/>
  <c r="K625" i="2"/>
  <c r="I625" i="2"/>
  <c r="J625" i="2" s="1"/>
  <c r="K624" i="2"/>
  <c r="I624" i="2"/>
  <c r="J624" i="2" s="1"/>
  <c r="K623" i="2"/>
  <c r="I623" i="2"/>
  <c r="J623" i="2" s="1"/>
  <c r="K622" i="2"/>
  <c r="I622" i="2"/>
  <c r="J622" i="2" s="1"/>
  <c r="K621" i="2"/>
  <c r="I621" i="2"/>
  <c r="J621" i="2" s="1"/>
  <c r="K620" i="2"/>
  <c r="I620" i="2"/>
  <c r="J620" i="2" s="1"/>
  <c r="K619" i="2"/>
  <c r="I619" i="2"/>
  <c r="J619" i="2" s="1"/>
  <c r="K618" i="2"/>
  <c r="I618" i="2"/>
  <c r="J618" i="2" s="1"/>
  <c r="K617" i="2"/>
  <c r="I617" i="2"/>
  <c r="J617" i="2" s="1"/>
  <c r="K616" i="2"/>
  <c r="I616" i="2"/>
  <c r="J616" i="2" s="1"/>
  <c r="K615" i="2"/>
  <c r="I615" i="2"/>
  <c r="J615" i="2" s="1"/>
  <c r="K614" i="2"/>
  <c r="I614" i="2"/>
  <c r="J614" i="2" s="1"/>
  <c r="K613" i="2"/>
  <c r="I613" i="2"/>
  <c r="J613" i="2" s="1"/>
  <c r="K612" i="2"/>
  <c r="I612" i="2"/>
  <c r="J612" i="2" s="1"/>
  <c r="K611" i="2"/>
  <c r="I611" i="2"/>
  <c r="J611" i="2" s="1"/>
  <c r="K610" i="2"/>
  <c r="I610" i="2"/>
  <c r="J610" i="2" s="1"/>
  <c r="K609" i="2"/>
  <c r="I609" i="2"/>
  <c r="J609" i="2" s="1"/>
  <c r="K608" i="2"/>
  <c r="I608" i="2"/>
  <c r="J608" i="2" s="1"/>
  <c r="K607" i="2"/>
  <c r="I607" i="2"/>
  <c r="J607" i="2" s="1"/>
  <c r="K606" i="2"/>
  <c r="I606" i="2"/>
  <c r="J606" i="2" s="1"/>
  <c r="K605" i="2"/>
  <c r="I605" i="2"/>
  <c r="J605" i="2" s="1"/>
  <c r="K604" i="2"/>
  <c r="I604" i="2"/>
  <c r="J604" i="2" s="1"/>
  <c r="K603" i="2"/>
  <c r="I603" i="2"/>
  <c r="J603" i="2" s="1"/>
  <c r="K602" i="2"/>
  <c r="I602" i="2"/>
  <c r="J602" i="2" s="1"/>
  <c r="K601" i="2"/>
  <c r="I601" i="2"/>
  <c r="J601" i="2" s="1"/>
  <c r="K600" i="2"/>
  <c r="I600" i="2"/>
  <c r="J600" i="2" s="1"/>
  <c r="K599" i="2"/>
  <c r="I599" i="2"/>
  <c r="J599" i="2" s="1"/>
  <c r="K598" i="2"/>
  <c r="I598" i="2"/>
  <c r="J598" i="2" s="1"/>
  <c r="K597" i="2"/>
  <c r="I597" i="2"/>
  <c r="J597" i="2" s="1"/>
  <c r="K596" i="2"/>
  <c r="I596" i="2"/>
  <c r="J596" i="2" s="1"/>
  <c r="K595" i="2"/>
  <c r="I595" i="2"/>
  <c r="J595" i="2" s="1"/>
  <c r="K594" i="2"/>
  <c r="I594" i="2"/>
  <c r="J594" i="2" s="1"/>
  <c r="K593" i="2"/>
  <c r="I593" i="2"/>
  <c r="J593" i="2" s="1"/>
  <c r="K592" i="2"/>
  <c r="I592" i="2"/>
  <c r="J592" i="2" s="1"/>
  <c r="K591" i="2"/>
  <c r="I591" i="2"/>
  <c r="J591" i="2" s="1"/>
  <c r="K590" i="2"/>
  <c r="I590" i="2"/>
  <c r="J590" i="2" s="1"/>
  <c r="K589" i="2"/>
  <c r="I589" i="2"/>
  <c r="J589" i="2" s="1"/>
  <c r="K588" i="2"/>
  <c r="I588" i="2"/>
  <c r="J588" i="2" s="1"/>
  <c r="K587" i="2"/>
  <c r="I587" i="2"/>
  <c r="J587" i="2" s="1"/>
  <c r="K586" i="2"/>
  <c r="I586" i="2"/>
  <c r="J586" i="2" s="1"/>
  <c r="K585" i="2"/>
  <c r="I585" i="2"/>
  <c r="J585" i="2" s="1"/>
  <c r="K584" i="2"/>
  <c r="I584" i="2"/>
  <c r="J584" i="2" s="1"/>
  <c r="K583" i="2"/>
  <c r="I583" i="2"/>
  <c r="J583" i="2" s="1"/>
  <c r="K582" i="2"/>
  <c r="I582" i="2"/>
  <c r="J582" i="2" s="1"/>
  <c r="K581" i="2"/>
  <c r="I581" i="2"/>
  <c r="J581" i="2" s="1"/>
  <c r="K580" i="2"/>
  <c r="I580" i="2"/>
  <c r="J580" i="2" s="1"/>
  <c r="K579" i="2"/>
  <c r="I579" i="2"/>
  <c r="J579" i="2" s="1"/>
  <c r="K578" i="2"/>
  <c r="I578" i="2"/>
  <c r="J578" i="2" s="1"/>
  <c r="K577" i="2"/>
  <c r="I577" i="2"/>
  <c r="J577" i="2" s="1"/>
  <c r="O19" i="2" s="1"/>
  <c r="K576" i="2"/>
  <c r="I576" i="2"/>
  <c r="J576" i="2" s="1"/>
  <c r="K575" i="2"/>
  <c r="I575" i="2"/>
  <c r="J575" i="2" s="1"/>
  <c r="K574" i="2"/>
  <c r="I574" i="2"/>
  <c r="J574" i="2" s="1"/>
  <c r="K573" i="2"/>
  <c r="I573" i="2"/>
  <c r="J573" i="2" s="1"/>
  <c r="K572" i="2"/>
  <c r="I572" i="2"/>
  <c r="J572" i="2" s="1"/>
  <c r="K571" i="2"/>
  <c r="I571" i="2"/>
  <c r="J571" i="2" s="1"/>
  <c r="K570" i="2"/>
  <c r="I570" i="2"/>
  <c r="J570" i="2" s="1"/>
  <c r="K569" i="2"/>
  <c r="I569" i="2"/>
  <c r="J569" i="2" s="1"/>
  <c r="K568" i="2"/>
  <c r="I568" i="2"/>
  <c r="J568" i="2" s="1"/>
  <c r="K567" i="2"/>
  <c r="I567" i="2"/>
  <c r="J567" i="2" s="1"/>
  <c r="K566" i="2"/>
  <c r="I566" i="2"/>
  <c r="J566" i="2" s="1"/>
  <c r="K565" i="2"/>
  <c r="I565" i="2"/>
  <c r="J565" i="2" s="1"/>
  <c r="K564" i="2"/>
  <c r="I564" i="2"/>
  <c r="J564" i="2" s="1"/>
  <c r="K563" i="2"/>
  <c r="I563" i="2"/>
  <c r="J563" i="2" s="1"/>
  <c r="K562" i="2"/>
  <c r="I562" i="2"/>
  <c r="J562" i="2" s="1"/>
  <c r="K561" i="2"/>
  <c r="I561" i="2"/>
  <c r="J561" i="2" s="1"/>
  <c r="K560" i="2"/>
  <c r="I560" i="2"/>
  <c r="J560" i="2" s="1"/>
  <c r="K559" i="2"/>
  <c r="I559" i="2"/>
  <c r="J559" i="2" s="1"/>
  <c r="K558" i="2"/>
  <c r="I558" i="2"/>
  <c r="J558" i="2" s="1"/>
  <c r="K557" i="2"/>
  <c r="I557" i="2"/>
  <c r="J557" i="2" s="1"/>
  <c r="K556" i="2"/>
  <c r="I556" i="2"/>
  <c r="J556" i="2" s="1"/>
  <c r="K555" i="2"/>
  <c r="I555" i="2"/>
  <c r="J555" i="2" s="1"/>
  <c r="K554" i="2"/>
  <c r="I554" i="2"/>
  <c r="J554" i="2" s="1"/>
  <c r="K553" i="2"/>
  <c r="I553" i="2"/>
  <c r="J553" i="2" s="1"/>
  <c r="K552" i="2"/>
  <c r="I552" i="2"/>
  <c r="J552" i="2" s="1"/>
  <c r="K551" i="2"/>
  <c r="I551" i="2"/>
  <c r="J551" i="2" s="1"/>
  <c r="K550" i="2"/>
  <c r="I550" i="2"/>
  <c r="J550" i="2" s="1"/>
  <c r="K549" i="2"/>
  <c r="I549" i="2"/>
  <c r="J549" i="2" s="1"/>
  <c r="K548" i="2"/>
  <c r="I548" i="2"/>
  <c r="J548" i="2" s="1"/>
  <c r="K547" i="2"/>
  <c r="I547" i="2"/>
  <c r="J547" i="2" s="1"/>
  <c r="K546" i="2"/>
  <c r="I546" i="2"/>
  <c r="J546" i="2" s="1"/>
  <c r="K545" i="2"/>
  <c r="I545" i="2"/>
  <c r="J545" i="2" s="1"/>
  <c r="K544" i="2"/>
  <c r="I544" i="2"/>
  <c r="J544" i="2" s="1"/>
  <c r="K543" i="2"/>
  <c r="I543" i="2"/>
  <c r="J543" i="2" s="1"/>
  <c r="K542" i="2"/>
  <c r="I542" i="2"/>
  <c r="J542" i="2" s="1"/>
  <c r="K541" i="2"/>
  <c r="I541" i="2"/>
  <c r="J541" i="2" s="1"/>
  <c r="K540" i="2"/>
  <c r="I540" i="2"/>
  <c r="J540" i="2" s="1"/>
  <c r="K539" i="2"/>
  <c r="I539" i="2"/>
  <c r="J539" i="2" s="1"/>
  <c r="K538" i="2"/>
  <c r="I538" i="2"/>
  <c r="J538" i="2" s="1"/>
  <c r="K537" i="2"/>
  <c r="I537" i="2"/>
  <c r="J537" i="2" s="1"/>
  <c r="K536" i="2"/>
  <c r="I536" i="2"/>
  <c r="J536" i="2" s="1"/>
  <c r="K535" i="2"/>
  <c r="I535" i="2"/>
  <c r="J535" i="2" s="1"/>
  <c r="K534" i="2"/>
  <c r="I534" i="2"/>
  <c r="J534" i="2" s="1"/>
  <c r="K533" i="2"/>
  <c r="I533" i="2"/>
  <c r="J533" i="2" s="1"/>
  <c r="K532" i="2"/>
  <c r="I532" i="2"/>
  <c r="J532" i="2" s="1"/>
  <c r="K531" i="2"/>
  <c r="I531" i="2"/>
  <c r="J531" i="2" s="1"/>
  <c r="K530" i="2"/>
  <c r="I530" i="2"/>
  <c r="J530" i="2" s="1"/>
  <c r="K529" i="2"/>
  <c r="I529" i="2"/>
  <c r="J529" i="2" s="1"/>
  <c r="K528" i="2"/>
  <c r="I528" i="2"/>
  <c r="J528" i="2" s="1"/>
  <c r="K527" i="2"/>
  <c r="I527" i="2"/>
  <c r="J527" i="2" s="1"/>
  <c r="K526" i="2"/>
  <c r="I526" i="2"/>
  <c r="J526" i="2" s="1"/>
  <c r="K525" i="2"/>
  <c r="I525" i="2"/>
  <c r="J525" i="2" s="1"/>
  <c r="K524" i="2"/>
  <c r="I524" i="2"/>
  <c r="J524" i="2" s="1"/>
  <c r="K523" i="2"/>
  <c r="I523" i="2"/>
  <c r="J523" i="2" s="1"/>
  <c r="K522" i="2"/>
  <c r="I522" i="2"/>
  <c r="J522" i="2" s="1"/>
  <c r="K521" i="2"/>
  <c r="I521" i="2"/>
  <c r="J521" i="2" s="1"/>
  <c r="K520" i="2"/>
  <c r="I520" i="2"/>
  <c r="J520" i="2" s="1"/>
  <c r="K519" i="2"/>
  <c r="I519" i="2"/>
  <c r="J519" i="2" s="1"/>
  <c r="K518" i="2"/>
  <c r="I518" i="2"/>
  <c r="J518" i="2" s="1"/>
  <c r="K517" i="2"/>
  <c r="I517" i="2"/>
  <c r="J517" i="2" s="1"/>
  <c r="K516" i="2"/>
  <c r="I516" i="2"/>
  <c r="J516" i="2" s="1"/>
  <c r="K515" i="2"/>
  <c r="I515" i="2"/>
  <c r="J515" i="2" s="1"/>
  <c r="K514" i="2"/>
  <c r="I514" i="2"/>
  <c r="J514" i="2" s="1"/>
  <c r="K513" i="2"/>
  <c r="I513" i="2"/>
  <c r="J513" i="2" s="1"/>
  <c r="K512" i="2"/>
  <c r="I512" i="2"/>
  <c r="J512" i="2" s="1"/>
  <c r="K511" i="2"/>
  <c r="I511" i="2"/>
  <c r="J511" i="2" s="1"/>
  <c r="K510" i="2"/>
  <c r="I510" i="2"/>
  <c r="J510" i="2" s="1"/>
  <c r="K509" i="2"/>
  <c r="I509" i="2"/>
  <c r="J509" i="2" s="1"/>
  <c r="K508" i="2"/>
  <c r="I508" i="2"/>
  <c r="J508" i="2" s="1"/>
  <c r="K507" i="2"/>
  <c r="I507" i="2"/>
  <c r="J507" i="2" s="1"/>
  <c r="K506" i="2"/>
  <c r="I506" i="2"/>
  <c r="J506" i="2" s="1"/>
  <c r="K505" i="2"/>
  <c r="I505" i="2"/>
  <c r="J505" i="2" s="1"/>
  <c r="K504" i="2"/>
  <c r="I504" i="2"/>
  <c r="J504" i="2" s="1"/>
  <c r="K503" i="2"/>
  <c r="I503" i="2"/>
  <c r="J503" i="2" s="1"/>
  <c r="K502" i="2"/>
  <c r="I502" i="2"/>
  <c r="J502" i="2" s="1"/>
  <c r="K501" i="2"/>
  <c r="I501" i="2"/>
  <c r="J501" i="2" s="1"/>
  <c r="K500" i="2"/>
  <c r="I500" i="2"/>
  <c r="J500" i="2" s="1"/>
  <c r="K499" i="2"/>
  <c r="I499" i="2"/>
  <c r="J499" i="2" s="1"/>
  <c r="K498" i="2"/>
  <c r="I498" i="2"/>
  <c r="J498" i="2" s="1"/>
  <c r="K497" i="2"/>
  <c r="I497" i="2"/>
  <c r="J497" i="2" s="1"/>
  <c r="K496" i="2"/>
  <c r="I496" i="2"/>
  <c r="J496" i="2" s="1"/>
  <c r="K495" i="2"/>
  <c r="I495" i="2"/>
  <c r="J495" i="2" s="1"/>
  <c r="K494" i="2"/>
  <c r="I494" i="2"/>
  <c r="J494" i="2" s="1"/>
  <c r="K493" i="2"/>
  <c r="I493" i="2"/>
  <c r="J493" i="2" s="1"/>
  <c r="K492" i="2"/>
  <c r="I492" i="2"/>
  <c r="J492" i="2" s="1"/>
  <c r="K491" i="2"/>
  <c r="I491" i="2"/>
  <c r="J491" i="2" s="1"/>
  <c r="K490" i="2"/>
  <c r="I490" i="2"/>
  <c r="J490" i="2" s="1"/>
  <c r="K489" i="2"/>
  <c r="I489" i="2"/>
  <c r="J489" i="2" s="1"/>
  <c r="K488" i="2"/>
  <c r="I488" i="2"/>
  <c r="J488" i="2" s="1"/>
  <c r="K487" i="2"/>
  <c r="I487" i="2"/>
  <c r="J487" i="2" s="1"/>
  <c r="K486" i="2"/>
  <c r="I486" i="2"/>
  <c r="J486" i="2" s="1"/>
  <c r="K485" i="2"/>
  <c r="I485" i="2"/>
  <c r="J485" i="2" s="1"/>
  <c r="K484" i="2"/>
  <c r="I484" i="2"/>
  <c r="J484" i="2" s="1"/>
  <c r="K483" i="2"/>
  <c r="I483" i="2"/>
  <c r="J483" i="2" s="1"/>
  <c r="K482" i="2"/>
  <c r="I482" i="2"/>
  <c r="J482" i="2" s="1"/>
  <c r="K481" i="2"/>
  <c r="I481" i="2"/>
  <c r="J481" i="2" s="1"/>
  <c r="K480" i="2"/>
  <c r="I480" i="2"/>
  <c r="J480" i="2" s="1"/>
  <c r="K479" i="2"/>
  <c r="I479" i="2"/>
  <c r="J479" i="2" s="1"/>
  <c r="K478" i="2"/>
  <c r="I478" i="2"/>
  <c r="J478" i="2" s="1"/>
  <c r="K477" i="2"/>
  <c r="I477" i="2"/>
  <c r="J477" i="2" s="1"/>
  <c r="K476" i="2"/>
  <c r="I476" i="2"/>
  <c r="J476" i="2" s="1"/>
  <c r="K475" i="2"/>
  <c r="I475" i="2"/>
  <c r="J475" i="2" s="1"/>
  <c r="K474" i="2"/>
  <c r="I474" i="2"/>
  <c r="J474" i="2" s="1"/>
  <c r="K473" i="2"/>
  <c r="I473" i="2"/>
  <c r="J473" i="2" s="1"/>
  <c r="K472" i="2"/>
  <c r="I472" i="2"/>
  <c r="J472" i="2" s="1"/>
  <c r="K471" i="2"/>
  <c r="I471" i="2"/>
  <c r="J471" i="2" s="1"/>
  <c r="K470" i="2"/>
  <c r="I470" i="2"/>
  <c r="J470" i="2" s="1"/>
  <c r="K469" i="2"/>
  <c r="I469" i="2"/>
  <c r="J469" i="2" s="1"/>
  <c r="K468" i="2"/>
  <c r="I468" i="2"/>
  <c r="J468" i="2" s="1"/>
  <c r="K467" i="2"/>
  <c r="I467" i="2"/>
  <c r="J467" i="2" s="1"/>
  <c r="K466" i="2"/>
  <c r="I466" i="2"/>
  <c r="J466" i="2" s="1"/>
  <c r="K465" i="2"/>
  <c r="I465" i="2"/>
  <c r="J465" i="2" s="1"/>
  <c r="K464" i="2"/>
  <c r="I464" i="2"/>
  <c r="J464" i="2" s="1"/>
  <c r="K463" i="2"/>
  <c r="I463" i="2"/>
  <c r="J463" i="2" s="1"/>
  <c r="O18" i="2" s="1"/>
  <c r="K462" i="2"/>
  <c r="I462" i="2"/>
  <c r="J462" i="2" s="1"/>
  <c r="K461" i="2"/>
  <c r="I461" i="2"/>
  <c r="J461" i="2" s="1"/>
  <c r="K460" i="2"/>
  <c r="I460" i="2"/>
  <c r="J460" i="2" s="1"/>
  <c r="K459" i="2"/>
  <c r="I459" i="2"/>
  <c r="J459" i="2" s="1"/>
  <c r="K458" i="2"/>
  <c r="I458" i="2"/>
  <c r="J458" i="2" s="1"/>
  <c r="K457" i="2"/>
  <c r="I457" i="2"/>
  <c r="J457" i="2" s="1"/>
  <c r="K456" i="2"/>
  <c r="I456" i="2"/>
  <c r="J456" i="2" s="1"/>
  <c r="K455" i="2"/>
  <c r="I455" i="2"/>
  <c r="J455" i="2" s="1"/>
  <c r="K454" i="2"/>
  <c r="I454" i="2"/>
  <c r="J454" i="2" s="1"/>
  <c r="K453" i="2"/>
  <c r="I453" i="2"/>
  <c r="J453" i="2" s="1"/>
  <c r="K452" i="2"/>
  <c r="I452" i="2"/>
  <c r="J452" i="2" s="1"/>
  <c r="K451" i="2"/>
  <c r="I451" i="2"/>
  <c r="J451" i="2" s="1"/>
  <c r="K450" i="2"/>
  <c r="I450" i="2"/>
  <c r="J450" i="2" s="1"/>
  <c r="K449" i="2"/>
  <c r="I449" i="2"/>
  <c r="J449" i="2" s="1"/>
  <c r="K448" i="2"/>
  <c r="I448" i="2"/>
  <c r="J448" i="2" s="1"/>
  <c r="K447" i="2"/>
  <c r="I447" i="2"/>
  <c r="J447" i="2" s="1"/>
  <c r="K446" i="2"/>
  <c r="I446" i="2"/>
  <c r="J446" i="2" s="1"/>
  <c r="K445" i="2"/>
  <c r="I445" i="2"/>
  <c r="J445" i="2" s="1"/>
  <c r="K444" i="2"/>
  <c r="I444" i="2"/>
  <c r="J444" i="2" s="1"/>
  <c r="K443" i="2"/>
  <c r="I443" i="2"/>
  <c r="J443" i="2" s="1"/>
  <c r="K442" i="2"/>
  <c r="I442" i="2"/>
  <c r="J442" i="2" s="1"/>
  <c r="K441" i="2"/>
  <c r="I441" i="2"/>
  <c r="J441" i="2" s="1"/>
  <c r="K440" i="2"/>
  <c r="I440" i="2"/>
  <c r="J440" i="2" s="1"/>
  <c r="K439" i="2"/>
  <c r="I439" i="2"/>
  <c r="J439" i="2" s="1"/>
  <c r="K438" i="2"/>
  <c r="I438" i="2"/>
  <c r="J438" i="2" s="1"/>
  <c r="K437" i="2"/>
  <c r="I437" i="2"/>
  <c r="J437" i="2" s="1"/>
  <c r="K436" i="2"/>
  <c r="I436" i="2"/>
  <c r="J436" i="2" s="1"/>
  <c r="K435" i="2"/>
  <c r="I435" i="2"/>
  <c r="J435" i="2" s="1"/>
  <c r="K434" i="2"/>
  <c r="I434" i="2"/>
  <c r="J434" i="2" s="1"/>
  <c r="K433" i="2"/>
  <c r="I433" i="2"/>
  <c r="J433" i="2" s="1"/>
  <c r="K432" i="2"/>
  <c r="I432" i="2"/>
  <c r="J432" i="2" s="1"/>
  <c r="K431" i="2"/>
  <c r="I431" i="2"/>
  <c r="J431" i="2" s="1"/>
  <c r="K430" i="2"/>
  <c r="I430" i="2"/>
  <c r="J430" i="2" s="1"/>
  <c r="K429" i="2"/>
  <c r="I429" i="2"/>
  <c r="J429" i="2" s="1"/>
  <c r="K428" i="2"/>
  <c r="I428" i="2"/>
  <c r="J428" i="2" s="1"/>
  <c r="K427" i="2"/>
  <c r="I427" i="2"/>
  <c r="J427" i="2" s="1"/>
  <c r="K426" i="2"/>
  <c r="I426" i="2"/>
  <c r="J426" i="2" s="1"/>
  <c r="K425" i="2"/>
  <c r="I425" i="2"/>
  <c r="J425" i="2" s="1"/>
  <c r="K424" i="2"/>
  <c r="I424" i="2"/>
  <c r="J424" i="2" s="1"/>
  <c r="K423" i="2"/>
  <c r="I423" i="2"/>
  <c r="J423" i="2" s="1"/>
  <c r="K422" i="2"/>
  <c r="I422" i="2"/>
  <c r="J422" i="2" s="1"/>
  <c r="K421" i="2"/>
  <c r="I421" i="2"/>
  <c r="J421" i="2" s="1"/>
  <c r="K420" i="2"/>
  <c r="I420" i="2"/>
  <c r="J420" i="2" s="1"/>
  <c r="K419" i="2"/>
  <c r="I419" i="2"/>
  <c r="J419" i="2" s="1"/>
  <c r="K418" i="2"/>
  <c r="I418" i="2"/>
  <c r="J418" i="2" s="1"/>
  <c r="K417" i="2"/>
  <c r="I417" i="2"/>
  <c r="J417" i="2" s="1"/>
  <c r="K416" i="2"/>
  <c r="I416" i="2"/>
  <c r="J416" i="2" s="1"/>
  <c r="K415" i="2"/>
  <c r="I415" i="2"/>
  <c r="J415" i="2" s="1"/>
  <c r="K414" i="2"/>
  <c r="I414" i="2"/>
  <c r="J414" i="2" s="1"/>
  <c r="K413" i="2"/>
  <c r="I413" i="2"/>
  <c r="J413" i="2" s="1"/>
  <c r="K412" i="2"/>
  <c r="I412" i="2"/>
  <c r="J412" i="2" s="1"/>
  <c r="K411" i="2"/>
  <c r="I411" i="2"/>
  <c r="J411" i="2" s="1"/>
  <c r="K410" i="2"/>
  <c r="I410" i="2"/>
  <c r="J410" i="2" s="1"/>
  <c r="K409" i="2"/>
  <c r="I409" i="2"/>
  <c r="J409" i="2" s="1"/>
  <c r="K408" i="2"/>
  <c r="I408" i="2"/>
  <c r="J408" i="2" s="1"/>
  <c r="K407" i="2"/>
  <c r="I407" i="2"/>
  <c r="J407" i="2" s="1"/>
  <c r="K406" i="2"/>
  <c r="I406" i="2"/>
  <c r="J406" i="2" s="1"/>
  <c r="K405" i="2"/>
  <c r="I405" i="2"/>
  <c r="J405" i="2" s="1"/>
  <c r="K404" i="2"/>
  <c r="I404" i="2"/>
  <c r="J404" i="2" s="1"/>
  <c r="K403" i="2"/>
  <c r="I403" i="2"/>
  <c r="J403" i="2" s="1"/>
  <c r="K402" i="2"/>
  <c r="I402" i="2"/>
  <c r="J402" i="2" s="1"/>
  <c r="K401" i="2"/>
  <c r="I401" i="2"/>
  <c r="J401" i="2" s="1"/>
  <c r="K400" i="2"/>
  <c r="I400" i="2"/>
  <c r="J400" i="2" s="1"/>
  <c r="K399" i="2"/>
  <c r="I399" i="2"/>
  <c r="J399" i="2" s="1"/>
  <c r="K398" i="2"/>
  <c r="I398" i="2"/>
  <c r="J398" i="2" s="1"/>
  <c r="K397" i="2"/>
  <c r="I397" i="2"/>
  <c r="J397" i="2" s="1"/>
  <c r="K396" i="2"/>
  <c r="I396" i="2"/>
  <c r="J396" i="2" s="1"/>
  <c r="K395" i="2"/>
  <c r="I395" i="2"/>
  <c r="J395" i="2" s="1"/>
  <c r="K394" i="2"/>
  <c r="I394" i="2"/>
  <c r="J394" i="2" s="1"/>
  <c r="K393" i="2"/>
  <c r="I393" i="2"/>
  <c r="J393" i="2" s="1"/>
  <c r="K392" i="2"/>
  <c r="I392" i="2"/>
  <c r="J392" i="2" s="1"/>
  <c r="K391" i="2"/>
  <c r="I391" i="2"/>
  <c r="J391" i="2" s="1"/>
  <c r="K390" i="2"/>
  <c r="I390" i="2"/>
  <c r="J390" i="2" s="1"/>
  <c r="K389" i="2"/>
  <c r="I389" i="2"/>
  <c r="J389" i="2" s="1"/>
  <c r="K388" i="2"/>
  <c r="I388" i="2"/>
  <c r="J388" i="2" s="1"/>
  <c r="K387" i="2"/>
  <c r="I387" i="2"/>
  <c r="J387" i="2" s="1"/>
  <c r="K386" i="2"/>
  <c r="I386" i="2"/>
  <c r="J386" i="2" s="1"/>
  <c r="K385" i="2"/>
  <c r="I385" i="2"/>
  <c r="J385" i="2" s="1"/>
  <c r="K384" i="2"/>
  <c r="I384" i="2"/>
  <c r="J384" i="2" s="1"/>
  <c r="K383" i="2"/>
  <c r="I383" i="2"/>
  <c r="J383" i="2" s="1"/>
  <c r="K382" i="2"/>
  <c r="I382" i="2"/>
  <c r="J382" i="2" s="1"/>
  <c r="K381" i="2"/>
  <c r="I381" i="2"/>
  <c r="J381" i="2" s="1"/>
  <c r="K380" i="2"/>
  <c r="I380" i="2"/>
  <c r="J380" i="2" s="1"/>
  <c r="K379" i="2"/>
  <c r="I379" i="2"/>
  <c r="J379" i="2" s="1"/>
  <c r="K378" i="2"/>
  <c r="I378" i="2"/>
  <c r="J378" i="2" s="1"/>
  <c r="K377" i="2"/>
  <c r="I377" i="2"/>
  <c r="J377" i="2" s="1"/>
  <c r="K376" i="2"/>
  <c r="I376" i="2"/>
  <c r="J376" i="2" s="1"/>
  <c r="K375" i="2"/>
  <c r="I375" i="2"/>
  <c r="J375" i="2" s="1"/>
  <c r="K374" i="2"/>
  <c r="I374" i="2"/>
  <c r="J374" i="2" s="1"/>
  <c r="K373" i="2"/>
  <c r="I373" i="2"/>
  <c r="J373" i="2" s="1"/>
  <c r="K372" i="2"/>
  <c r="I372" i="2"/>
  <c r="J372" i="2" s="1"/>
  <c r="K371" i="2"/>
  <c r="I371" i="2"/>
  <c r="J371" i="2" s="1"/>
  <c r="K370" i="2"/>
  <c r="I370" i="2"/>
  <c r="J370" i="2" s="1"/>
  <c r="K369" i="2"/>
  <c r="I369" i="2"/>
  <c r="J369" i="2" s="1"/>
  <c r="K368" i="2"/>
  <c r="I368" i="2"/>
  <c r="J368" i="2" s="1"/>
  <c r="K367" i="2"/>
  <c r="I367" i="2"/>
  <c r="J367" i="2" s="1"/>
  <c r="K366" i="2"/>
  <c r="I366" i="2"/>
  <c r="J366" i="2" s="1"/>
  <c r="K365" i="2"/>
  <c r="I365" i="2"/>
  <c r="J365" i="2" s="1"/>
  <c r="K364" i="2"/>
  <c r="I364" i="2"/>
  <c r="J364" i="2" s="1"/>
  <c r="K363" i="2"/>
  <c r="I363" i="2"/>
  <c r="J363" i="2" s="1"/>
  <c r="K362" i="2"/>
  <c r="I362" i="2"/>
  <c r="J362" i="2" s="1"/>
  <c r="K361" i="2"/>
  <c r="I361" i="2"/>
  <c r="J361" i="2" s="1"/>
  <c r="K360" i="2"/>
  <c r="I360" i="2"/>
  <c r="J360" i="2" s="1"/>
  <c r="K359" i="2"/>
  <c r="I359" i="2"/>
  <c r="J359" i="2" s="1"/>
  <c r="K358" i="2"/>
  <c r="I358" i="2"/>
  <c r="J358" i="2" s="1"/>
  <c r="K357" i="2"/>
  <c r="I357" i="2"/>
  <c r="J357" i="2" s="1"/>
  <c r="K356" i="2"/>
  <c r="I356" i="2"/>
  <c r="J356" i="2" s="1"/>
  <c r="K355" i="2"/>
  <c r="I355" i="2"/>
  <c r="J355" i="2" s="1"/>
  <c r="K354" i="2"/>
  <c r="I354" i="2"/>
  <c r="J354" i="2" s="1"/>
  <c r="K353" i="2"/>
  <c r="I353" i="2"/>
  <c r="J353" i="2" s="1"/>
  <c r="K352" i="2"/>
  <c r="I352" i="2"/>
  <c r="J352" i="2" s="1"/>
  <c r="K351" i="2"/>
  <c r="I351" i="2"/>
  <c r="J351" i="2" s="1"/>
  <c r="K350" i="2"/>
  <c r="I350" i="2"/>
  <c r="J350" i="2" s="1"/>
  <c r="K349" i="2"/>
  <c r="I349" i="2"/>
  <c r="J349" i="2" s="1"/>
  <c r="K348" i="2"/>
  <c r="I348" i="2"/>
  <c r="J348" i="2" s="1"/>
  <c r="K347" i="2"/>
  <c r="I347" i="2"/>
  <c r="J347" i="2" s="1"/>
  <c r="K346" i="2"/>
  <c r="I346" i="2"/>
  <c r="J346" i="2" s="1"/>
  <c r="K345" i="2"/>
  <c r="I345" i="2"/>
  <c r="J345" i="2" s="1"/>
  <c r="K344" i="2"/>
  <c r="I344" i="2"/>
  <c r="J344" i="2" s="1"/>
  <c r="K343" i="2"/>
  <c r="I343" i="2"/>
  <c r="J343" i="2" s="1"/>
  <c r="K342" i="2"/>
  <c r="I342" i="2"/>
  <c r="J342" i="2" s="1"/>
  <c r="K341" i="2"/>
  <c r="I341" i="2"/>
  <c r="J341" i="2" s="1"/>
  <c r="K340" i="2"/>
  <c r="I340" i="2"/>
  <c r="J340" i="2" s="1"/>
  <c r="K339" i="2"/>
  <c r="I339" i="2"/>
  <c r="J339" i="2" s="1"/>
  <c r="K338" i="2"/>
  <c r="I338" i="2"/>
  <c r="J338" i="2" s="1"/>
  <c r="K337" i="2"/>
  <c r="I337" i="2"/>
  <c r="J337" i="2" s="1"/>
  <c r="K336" i="2"/>
  <c r="I336" i="2"/>
  <c r="J336" i="2" s="1"/>
  <c r="K335" i="2"/>
  <c r="I335" i="2"/>
  <c r="J335" i="2" s="1"/>
  <c r="K334" i="2"/>
  <c r="I334" i="2"/>
  <c r="J334" i="2" s="1"/>
  <c r="K333" i="2"/>
  <c r="I333" i="2"/>
  <c r="J333" i="2" s="1"/>
  <c r="K332" i="2"/>
  <c r="I332" i="2"/>
  <c r="J332" i="2" s="1"/>
  <c r="K331" i="2"/>
  <c r="I331" i="2"/>
  <c r="J331" i="2" s="1"/>
  <c r="K330" i="2"/>
  <c r="I330" i="2"/>
  <c r="J330" i="2" s="1"/>
  <c r="K329" i="2"/>
  <c r="I329" i="2"/>
  <c r="J329" i="2" s="1"/>
  <c r="K328" i="2"/>
  <c r="I328" i="2"/>
  <c r="J328" i="2" s="1"/>
  <c r="K327" i="2"/>
  <c r="I327" i="2"/>
  <c r="J327" i="2" s="1"/>
  <c r="K326" i="2"/>
  <c r="I326" i="2"/>
  <c r="J326" i="2" s="1"/>
  <c r="K325" i="2"/>
  <c r="I325" i="2"/>
  <c r="J325" i="2" s="1"/>
  <c r="K324" i="2"/>
  <c r="I324" i="2"/>
  <c r="J324" i="2" s="1"/>
  <c r="K323" i="2"/>
  <c r="I323" i="2"/>
  <c r="J323" i="2" s="1"/>
  <c r="K322" i="2"/>
  <c r="I322" i="2"/>
  <c r="J322" i="2" s="1"/>
  <c r="K321" i="2"/>
  <c r="I321" i="2"/>
  <c r="J321" i="2" s="1"/>
  <c r="K320" i="2"/>
  <c r="I320" i="2"/>
  <c r="J320" i="2" s="1"/>
  <c r="K319" i="2"/>
  <c r="I319" i="2"/>
  <c r="J319" i="2" s="1"/>
  <c r="K318" i="2"/>
  <c r="I318" i="2"/>
  <c r="J318" i="2" s="1"/>
  <c r="K317" i="2"/>
  <c r="I317" i="2"/>
  <c r="J317" i="2" s="1"/>
  <c r="K316" i="2"/>
  <c r="I316" i="2"/>
  <c r="J316" i="2" s="1"/>
  <c r="K315" i="2"/>
  <c r="I315" i="2"/>
  <c r="J315" i="2" s="1"/>
  <c r="K314" i="2"/>
  <c r="I314" i="2"/>
  <c r="J314" i="2" s="1"/>
  <c r="K313" i="2"/>
  <c r="I313" i="2"/>
  <c r="J313" i="2" s="1"/>
  <c r="K312" i="2"/>
  <c r="I312" i="2"/>
  <c r="J312" i="2" s="1"/>
  <c r="K311" i="2"/>
  <c r="I311" i="2"/>
  <c r="J311" i="2" s="1"/>
  <c r="K310" i="2"/>
  <c r="I310" i="2"/>
  <c r="J310" i="2" s="1"/>
  <c r="K309" i="2"/>
  <c r="I309" i="2"/>
  <c r="J309" i="2" s="1"/>
  <c r="K308" i="2"/>
  <c r="I308" i="2"/>
  <c r="J308" i="2" s="1"/>
  <c r="K307" i="2"/>
  <c r="I307" i="2"/>
  <c r="J307" i="2" s="1"/>
  <c r="K306" i="2"/>
  <c r="I306" i="2"/>
  <c r="J306" i="2" s="1"/>
  <c r="K305" i="2"/>
  <c r="I305" i="2"/>
  <c r="J305" i="2" s="1"/>
  <c r="K304" i="2"/>
  <c r="I304" i="2"/>
  <c r="J304" i="2" s="1"/>
  <c r="K303" i="2"/>
  <c r="I303" i="2"/>
  <c r="J303" i="2" s="1"/>
  <c r="K302" i="2"/>
  <c r="I302" i="2"/>
  <c r="J302" i="2" s="1"/>
  <c r="K301" i="2"/>
  <c r="I301" i="2"/>
  <c r="J301" i="2" s="1"/>
  <c r="K300" i="2"/>
  <c r="I300" i="2"/>
  <c r="J300" i="2" s="1"/>
  <c r="K299" i="2"/>
  <c r="I299" i="2"/>
  <c r="J299" i="2" s="1"/>
  <c r="K298" i="2"/>
  <c r="I298" i="2"/>
  <c r="J298" i="2" s="1"/>
  <c r="K297" i="2"/>
  <c r="I297" i="2"/>
  <c r="J297" i="2" s="1"/>
  <c r="K296" i="2"/>
  <c r="I296" i="2"/>
  <c r="J296" i="2" s="1"/>
  <c r="K295" i="2"/>
  <c r="I295" i="2"/>
  <c r="J295" i="2" s="1"/>
  <c r="K294" i="2"/>
  <c r="I294" i="2"/>
  <c r="J294" i="2" s="1"/>
  <c r="K293" i="2"/>
  <c r="I293" i="2"/>
  <c r="J293" i="2" s="1"/>
  <c r="K292" i="2"/>
  <c r="I292" i="2"/>
  <c r="J292" i="2" s="1"/>
  <c r="K291" i="2"/>
  <c r="I291" i="2"/>
  <c r="J291" i="2" s="1"/>
  <c r="K290" i="2"/>
  <c r="I290" i="2"/>
  <c r="J290" i="2" s="1"/>
  <c r="K289" i="2"/>
  <c r="I289" i="2"/>
  <c r="J289" i="2" s="1"/>
  <c r="K288" i="2"/>
  <c r="I288" i="2"/>
  <c r="J288" i="2" s="1"/>
  <c r="K287" i="2"/>
  <c r="I287" i="2"/>
  <c r="J287" i="2" s="1"/>
  <c r="K286" i="2"/>
  <c r="I286" i="2"/>
  <c r="J286" i="2" s="1"/>
  <c r="K285" i="2"/>
  <c r="I285" i="2"/>
  <c r="J285" i="2" s="1"/>
  <c r="K284" i="2"/>
  <c r="I284" i="2"/>
  <c r="J284" i="2" s="1"/>
  <c r="K283" i="2"/>
  <c r="I283" i="2"/>
  <c r="J283" i="2" s="1"/>
  <c r="K282" i="2"/>
  <c r="I282" i="2"/>
  <c r="J282" i="2" s="1"/>
  <c r="K281" i="2"/>
  <c r="I281" i="2"/>
  <c r="J281" i="2" s="1"/>
  <c r="K280" i="2"/>
  <c r="I280" i="2"/>
  <c r="J280" i="2" s="1"/>
  <c r="K279" i="2"/>
  <c r="I279" i="2"/>
  <c r="J279" i="2" s="1"/>
  <c r="K278" i="2"/>
  <c r="I278" i="2"/>
  <c r="J278" i="2" s="1"/>
  <c r="K277" i="2"/>
  <c r="I277" i="2"/>
  <c r="J277" i="2" s="1"/>
  <c r="K276" i="2"/>
  <c r="I276" i="2"/>
  <c r="J276" i="2" s="1"/>
  <c r="K275" i="2"/>
  <c r="I275" i="2"/>
  <c r="J275" i="2" s="1"/>
  <c r="K274" i="2"/>
  <c r="I274" i="2"/>
  <c r="J274" i="2" s="1"/>
  <c r="K273" i="2"/>
  <c r="I273" i="2"/>
  <c r="J273" i="2" s="1"/>
  <c r="K272" i="2"/>
  <c r="I272" i="2"/>
  <c r="J272" i="2" s="1"/>
  <c r="K271" i="2"/>
  <c r="I271" i="2"/>
  <c r="J271" i="2" s="1"/>
  <c r="K270" i="2"/>
  <c r="I270" i="2"/>
  <c r="J270" i="2" s="1"/>
  <c r="K269" i="2"/>
  <c r="I269" i="2"/>
  <c r="J269" i="2" s="1"/>
  <c r="K268" i="2"/>
  <c r="I268" i="2"/>
  <c r="J268" i="2" s="1"/>
  <c r="K267" i="2"/>
  <c r="I267" i="2"/>
  <c r="J267" i="2" s="1"/>
  <c r="K266" i="2"/>
  <c r="I266" i="2"/>
  <c r="J266" i="2" s="1"/>
  <c r="K265" i="2"/>
  <c r="I265" i="2"/>
  <c r="J265" i="2" s="1"/>
  <c r="K264" i="2"/>
  <c r="I264" i="2"/>
  <c r="J264" i="2" s="1"/>
  <c r="K263" i="2"/>
  <c r="I263" i="2"/>
  <c r="J263" i="2" s="1"/>
  <c r="K262" i="2"/>
  <c r="I262" i="2"/>
  <c r="J262" i="2" s="1"/>
  <c r="K261" i="2"/>
  <c r="I261" i="2"/>
  <c r="J261" i="2" s="1"/>
  <c r="K260" i="2"/>
  <c r="I260" i="2"/>
  <c r="J260" i="2" s="1"/>
  <c r="K259" i="2"/>
  <c r="I259" i="2"/>
  <c r="J259" i="2" s="1"/>
  <c r="K258" i="2"/>
  <c r="I258" i="2"/>
  <c r="J258" i="2" s="1"/>
  <c r="K257" i="2"/>
  <c r="I257" i="2"/>
  <c r="J257" i="2" s="1"/>
  <c r="K256" i="2"/>
  <c r="I256" i="2"/>
  <c r="J256" i="2" s="1"/>
  <c r="K255" i="2"/>
  <c r="I255" i="2"/>
  <c r="J255" i="2" s="1"/>
  <c r="K254" i="2"/>
  <c r="I254" i="2"/>
  <c r="J254" i="2" s="1"/>
  <c r="K253" i="2"/>
  <c r="I253" i="2"/>
  <c r="J253" i="2" s="1"/>
  <c r="K252" i="2"/>
  <c r="J252" i="2"/>
  <c r="I252" i="2"/>
  <c r="K251" i="2"/>
  <c r="I251" i="2"/>
  <c r="J251" i="2" s="1"/>
  <c r="K250" i="2"/>
  <c r="I250" i="2"/>
  <c r="J250" i="2" s="1"/>
  <c r="K249" i="2"/>
  <c r="I249" i="2"/>
  <c r="J249" i="2" s="1"/>
  <c r="K248" i="2"/>
  <c r="I248" i="2"/>
  <c r="J248" i="2" s="1"/>
  <c r="K247" i="2"/>
  <c r="I247" i="2"/>
  <c r="J247" i="2" s="1"/>
  <c r="K246" i="2"/>
  <c r="I246" i="2"/>
  <c r="J246" i="2" s="1"/>
  <c r="K245" i="2"/>
  <c r="I245" i="2"/>
  <c r="J245" i="2" s="1"/>
  <c r="K244" i="2"/>
  <c r="I244" i="2"/>
  <c r="J244" i="2" s="1"/>
  <c r="K243" i="2"/>
  <c r="I243" i="2"/>
  <c r="J243" i="2" s="1"/>
  <c r="K242" i="2"/>
  <c r="I242" i="2"/>
  <c r="J242" i="2" s="1"/>
  <c r="K241" i="2"/>
  <c r="I241" i="2"/>
  <c r="J241" i="2" s="1"/>
  <c r="K240" i="2"/>
  <c r="I240" i="2"/>
  <c r="J240" i="2" s="1"/>
  <c r="K239" i="2"/>
  <c r="I239" i="2"/>
  <c r="J239" i="2" s="1"/>
  <c r="K238" i="2"/>
  <c r="I238" i="2"/>
  <c r="J238" i="2" s="1"/>
  <c r="K237" i="2"/>
  <c r="I237" i="2"/>
  <c r="J237" i="2" s="1"/>
  <c r="K236" i="2"/>
  <c r="I236" i="2"/>
  <c r="J236" i="2" s="1"/>
  <c r="K235" i="2"/>
  <c r="I235" i="2"/>
  <c r="J235" i="2" s="1"/>
  <c r="K234" i="2"/>
  <c r="I234" i="2"/>
  <c r="J234" i="2" s="1"/>
  <c r="K233" i="2"/>
  <c r="I233" i="2"/>
  <c r="J233" i="2" s="1"/>
  <c r="K232" i="2"/>
  <c r="I232" i="2"/>
  <c r="J232" i="2" s="1"/>
  <c r="K231" i="2"/>
  <c r="I231" i="2"/>
  <c r="J231" i="2" s="1"/>
  <c r="K230" i="2"/>
  <c r="I230" i="2"/>
  <c r="J230" i="2" s="1"/>
  <c r="K229" i="2"/>
  <c r="I229" i="2"/>
  <c r="J229" i="2" s="1"/>
  <c r="K228" i="2"/>
  <c r="I228" i="2"/>
  <c r="J228" i="2" s="1"/>
  <c r="K227" i="2"/>
  <c r="I227" i="2"/>
  <c r="J227" i="2" s="1"/>
  <c r="K226" i="2"/>
  <c r="I226" i="2"/>
  <c r="J226" i="2" s="1"/>
  <c r="K225" i="2"/>
  <c r="I225" i="2"/>
  <c r="J225" i="2" s="1"/>
  <c r="K224" i="2"/>
  <c r="I224" i="2"/>
  <c r="J224" i="2" s="1"/>
  <c r="K223" i="2"/>
  <c r="I223" i="2"/>
  <c r="J223" i="2" s="1"/>
  <c r="K222" i="2"/>
  <c r="I222" i="2"/>
  <c r="J222" i="2" s="1"/>
  <c r="K221" i="2"/>
  <c r="I221" i="2"/>
  <c r="J221" i="2" s="1"/>
  <c r="K220" i="2"/>
  <c r="I220" i="2"/>
  <c r="J220" i="2" s="1"/>
  <c r="K219" i="2"/>
  <c r="I219" i="2"/>
  <c r="J219" i="2" s="1"/>
  <c r="K218" i="2"/>
  <c r="I218" i="2"/>
  <c r="J218" i="2" s="1"/>
  <c r="K217" i="2"/>
  <c r="I217" i="2"/>
  <c r="J217" i="2" s="1"/>
  <c r="K216" i="2"/>
  <c r="I216" i="2"/>
  <c r="J216" i="2" s="1"/>
  <c r="K215" i="2"/>
  <c r="I215" i="2"/>
  <c r="J215" i="2" s="1"/>
  <c r="K214" i="2"/>
  <c r="I214" i="2"/>
  <c r="J214" i="2" s="1"/>
  <c r="K213" i="2"/>
  <c r="I213" i="2"/>
  <c r="J213" i="2" s="1"/>
  <c r="K212" i="2"/>
  <c r="I212" i="2"/>
  <c r="J212" i="2" s="1"/>
  <c r="K211" i="2"/>
  <c r="I211" i="2"/>
  <c r="J211" i="2" s="1"/>
  <c r="K210" i="2"/>
  <c r="I210" i="2"/>
  <c r="J210" i="2" s="1"/>
  <c r="K209" i="2"/>
  <c r="I209" i="2"/>
  <c r="J209" i="2" s="1"/>
  <c r="K208" i="2"/>
  <c r="I208" i="2"/>
  <c r="J208" i="2" s="1"/>
  <c r="K207" i="2"/>
  <c r="I207" i="2"/>
  <c r="J207" i="2" s="1"/>
  <c r="K206" i="2"/>
  <c r="I206" i="2"/>
  <c r="J206" i="2" s="1"/>
  <c r="K205" i="2"/>
  <c r="I205" i="2"/>
  <c r="J205" i="2" s="1"/>
  <c r="K204" i="2"/>
  <c r="I204" i="2"/>
  <c r="J204" i="2" s="1"/>
  <c r="K203" i="2"/>
  <c r="I203" i="2"/>
  <c r="J203" i="2" s="1"/>
  <c r="K202" i="2"/>
  <c r="I202" i="2"/>
  <c r="J202" i="2" s="1"/>
  <c r="K201" i="2"/>
  <c r="I201" i="2"/>
  <c r="J201" i="2" s="1"/>
  <c r="K200" i="2"/>
  <c r="I200" i="2"/>
  <c r="J200" i="2" s="1"/>
  <c r="K199" i="2"/>
  <c r="I199" i="2"/>
  <c r="J199" i="2" s="1"/>
  <c r="K198" i="2"/>
  <c r="I198" i="2"/>
  <c r="J198" i="2" s="1"/>
  <c r="K197" i="2"/>
  <c r="I197" i="2"/>
  <c r="J197" i="2" s="1"/>
  <c r="K196" i="2"/>
  <c r="I196" i="2"/>
  <c r="J196" i="2" s="1"/>
  <c r="O16" i="2" s="1"/>
  <c r="K195" i="2"/>
  <c r="I195" i="2"/>
  <c r="J195" i="2" s="1"/>
  <c r="K194" i="2"/>
  <c r="I194" i="2"/>
  <c r="J194" i="2" s="1"/>
  <c r="K193" i="2"/>
  <c r="I193" i="2"/>
  <c r="J193" i="2" s="1"/>
  <c r="K192" i="2"/>
  <c r="I192" i="2"/>
  <c r="J192" i="2" s="1"/>
  <c r="K191" i="2"/>
  <c r="I191" i="2"/>
  <c r="J191" i="2" s="1"/>
  <c r="K190" i="2"/>
  <c r="I190" i="2"/>
  <c r="J190" i="2" s="1"/>
  <c r="K189" i="2"/>
  <c r="I189" i="2"/>
  <c r="J189" i="2" s="1"/>
  <c r="K188" i="2"/>
  <c r="I188" i="2"/>
  <c r="J188" i="2" s="1"/>
  <c r="K187" i="2"/>
  <c r="I187" i="2"/>
  <c r="J187" i="2" s="1"/>
  <c r="K186" i="2"/>
  <c r="I186" i="2"/>
  <c r="J186" i="2" s="1"/>
  <c r="K185" i="2"/>
  <c r="I185" i="2"/>
  <c r="J185" i="2" s="1"/>
  <c r="K184" i="2"/>
  <c r="I184" i="2"/>
  <c r="J184" i="2" s="1"/>
  <c r="K183" i="2"/>
  <c r="I183" i="2"/>
  <c r="J183" i="2" s="1"/>
  <c r="K182" i="2"/>
  <c r="I182" i="2"/>
  <c r="J182" i="2" s="1"/>
  <c r="K181" i="2"/>
  <c r="I181" i="2"/>
  <c r="J181" i="2" s="1"/>
  <c r="K180" i="2"/>
  <c r="I180" i="2"/>
  <c r="J180" i="2" s="1"/>
  <c r="K179" i="2"/>
  <c r="I179" i="2"/>
  <c r="J179" i="2" s="1"/>
  <c r="K178" i="2"/>
  <c r="I178" i="2"/>
  <c r="J178" i="2" s="1"/>
  <c r="K177" i="2"/>
  <c r="I177" i="2"/>
  <c r="J177" i="2" s="1"/>
  <c r="K176" i="2"/>
  <c r="I176" i="2"/>
  <c r="J176" i="2" s="1"/>
  <c r="K175" i="2"/>
  <c r="I175" i="2"/>
  <c r="J175" i="2" s="1"/>
  <c r="K174" i="2"/>
  <c r="I174" i="2"/>
  <c r="J174" i="2" s="1"/>
  <c r="K173" i="2"/>
  <c r="I173" i="2"/>
  <c r="J173" i="2" s="1"/>
  <c r="K172" i="2"/>
  <c r="I172" i="2"/>
  <c r="J172" i="2" s="1"/>
  <c r="K171" i="2"/>
  <c r="I171" i="2"/>
  <c r="J171" i="2" s="1"/>
  <c r="K170" i="2"/>
  <c r="I170" i="2"/>
  <c r="J170" i="2" s="1"/>
  <c r="K169" i="2"/>
  <c r="I169" i="2"/>
  <c r="J169" i="2" s="1"/>
  <c r="K168" i="2"/>
  <c r="I168" i="2"/>
  <c r="J168" i="2" s="1"/>
  <c r="K167" i="2"/>
  <c r="I167" i="2"/>
  <c r="J167" i="2" s="1"/>
  <c r="K166" i="2"/>
  <c r="J166" i="2"/>
  <c r="I166" i="2"/>
  <c r="K165" i="2"/>
  <c r="I165" i="2"/>
  <c r="J165" i="2" s="1"/>
  <c r="K164" i="2"/>
  <c r="I164" i="2"/>
  <c r="J164" i="2" s="1"/>
  <c r="K163" i="2"/>
  <c r="I163" i="2"/>
  <c r="J163" i="2" s="1"/>
  <c r="K162" i="2"/>
  <c r="I162" i="2"/>
  <c r="J162" i="2" s="1"/>
  <c r="K161" i="2"/>
  <c r="I161" i="2"/>
  <c r="J161" i="2" s="1"/>
  <c r="K160" i="2"/>
  <c r="I160" i="2"/>
  <c r="J160" i="2" s="1"/>
  <c r="K159" i="2"/>
  <c r="I159" i="2"/>
  <c r="J159" i="2" s="1"/>
  <c r="K158" i="2"/>
  <c r="I158" i="2"/>
  <c r="J158" i="2" s="1"/>
  <c r="K157" i="2"/>
  <c r="I157" i="2"/>
  <c r="J157" i="2" s="1"/>
  <c r="K156" i="2"/>
  <c r="I156" i="2"/>
  <c r="J156" i="2" s="1"/>
  <c r="K155" i="2"/>
  <c r="I155" i="2"/>
  <c r="J155" i="2" s="1"/>
  <c r="K154" i="2"/>
  <c r="I154" i="2"/>
  <c r="J154" i="2" s="1"/>
  <c r="K153" i="2"/>
  <c r="I153" i="2"/>
  <c r="J153" i="2" s="1"/>
  <c r="K152" i="2"/>
  <c r="I152" i="2"/>
  <c r="J152" i="2" s="1"/>
  <c r="K151" i="2"/>
  <c r="I151" i="2"/>
  <c r="J151" i="2" s="1"/>
  <c r="K150" i="2"/>
  <c r="I150" i="2"/>
  <c r="J150" i="2" s="1"/>
  <c r="K149" i="2"/>
  <c r="I149" i="2"/>
  <c r="J149" i="2" s="1"/>
  <c r="K148" i="2"/>
  <c r="I148" i="2"/>
  <c r="J148" i="2" s="1"/>
  <c r="K147" i="2"/>
  <c r="I147" i="2"/>
  <c r="J147" i="2" s="1"/>
  <c r="K146" i="2"/>
  <c r="I146" i="2"/>
  <c r="J146" i="2" s="1"/>
  <c r="K145" i="2"/>
  <c r="I145" i="2"/>
  <c r="J145" i="2" s="1"/>
  <c r="K144" i="2"/>
  <c r="I144" i="2"/>
  <c r="J144" i="2" s="1"/>
  <c r="K143" i="2"/>
  <c r="I143" i="2"/>
  <c r="J143" i="2" s="1"/>
  <c r="K142" i="2"/>
  <c r="I142" i="2"/>
  <c r="J142" i="2" s="1"/>
  <c r="K141" i="2"/>
  <c r="I141" i="2"/>
  <c r="J141" i="2" s="1"/>
  <c r="K140" i="2"/>
  <c r="I140" i="2"/>
  <c r="J140" i="2" s="1"/>
  <c r="K139" i="2"/>
  <c r="I139" i="2"/>
  <c r="J139" i="2" s="1"/>
  <c r="K138" i="2"/>
  <c r="I138" i="2"/>
  <c r="J138" i="2" s="1"/>
  <c r="K137" i="2"/>
  <c r="I137" i="2"/>
  <c r="J137" i="2" s="1"/>
  <c r="K136" i="2"/>
  <c r="I136" i="2"/>
  <c r="J136" i="2" s="1"/>
  <c r="K135" i="2"/>
  <c r="I135" i="2"/>
  <c r="J135" i="2" s="1"/>
  <c r="K134" i="2"/>
  <c r="I134" i="2"/>
  <c r="J134" i="2" s="1"/>
  <c r="K133" i="2"/>
  <c r="I133" i="2"/>
  <c r="J133" i="2" s="1"/>
  <c r="K132" i="2"/>
  <c r="I132" i="2"/>
  <c r="J132" i="2" s="1"/>
  <c r="K131" i="2"/>
  <c r="I131" i="2"/>
  <c r="J131" i="2" s="1"/>
  <c r="K130" i="2"/>
  <c r="I130" i="2"/>
  <c r="J130" i="2" s="1"/>
  <c r="K129" i="2"/>
  <c r="I129" i="2"/>
  <c r="J129" i="2" s="1"/>
  <c r="K128" i="2"/>
  <c r="I128" i="2"/>
  <c r="J128" i="2" s="1"/>
  <c r="K127" i="2"/>
  <c r="I127" i="2"/>
  <c r="J127" i="2" s="1"/>
  <c r="K126" i="2"/>
  <c r="I126" i="2"/>
  <c r="J126" i="2" s="1"/>
  <c r="K125" i="2"/>
  <c r="I125" i="2"/>
  <c r="J125" i="2" s="1"/>
  <c r="K124" i="2"/>
  <c r="I124" i="2"/>
  <c r="J124" i="2" s="1"/>
  <c r="K123" i="2"/>
  <c r="I123" i="2"/>
  <c r="J123" i="2" s="1"/>
  <c r="K122" i="2"/>
  <c r="I122" i="2"/>
  <c r="J122" i="2" s="1"/>
  <c r="K121" i="2"/>
  <c r="I121" i="2"/>
  <c r="J121" i="2" s="1"/>
  <c r="K120" i="2"/>
  <c r="I120" i="2"/>
  <c r="J120" i="2" s="1"/>
  <c r="K119" i="2"/>
  <c r="I119" i="2"/>
  <c r="J119" i="2" s="1"/>
  <c r="K118" i="2"/>
  <c r="I118" i="2"/>
  <c r="J118" i="2" s="1"/>
  <c r="K117" i="2"/>
  <c r="I117" i="2"/>
  <c r="J117" i="2" s="1"/>
  <c r="K116" i="2"/>
  <c r="I116" i="2"/>
  <c r="J116" i="2" s="1"/>
  <c r="K115" i="2"/>
  <c r="I115" i="2"/>
  <c r="J115" i="2" s="1"/>
  <c r="K114" i="2"/>
  <c r="I114" i="2"/>
  <c r="J114" i="2" s="1"/>
  <c r="K113" i="2"/>
  <c r="I113" i="2"/>
  <c r="J113" i="2" s="1"/>
  <c r="K112" i="2"/>
  <c r="I112" i="2"/>
  <c r="J112" i="2" s="1"/>
  <c r="K111" i="2"/>
  <c r="I111" i="2"/>
  <c r="J111" i="2" s="1"/>
  <c r="K110" i="2"/>
  <c r="I110" i="2"/>
  <c r="J110" i="2" s="1"/>
  <c r="K109" i="2"/>
  <c r="I109" i="2"/>
  <c r="J109" i="2" s="1"/>
  <c r="K108" i="2"/>
  <c r="I108" i="2"/>
  <c r="J108" i="2" s="1"/>
  <c r="K107" i="2"/>
  <c r="I107" i="2"/>
  <c r="J107" i="2" s="1"/>
  <c r="K106" i="2"/>
  <c r="I106" i="2"/>
  <c r="J106" i="2" s="1"/>
  <c r="K105" i="2"/>
  <c r="I105" i="2"/>
  <c r="J105" i="2" s="1"/>
  <c r="K104" i="2"/>
  <c r="I104" i="2"/>
  <c r="J104" i="2" s="1"/>
  <c r="K103" i="2"/>
  <c r="I103" i="2"/>
  <c r="J103" i="2" s="1"/>
  <c r="K102" i="2"/>
  <c r="I102" i="2"/>
  <c r="J102" i="2" s="1"/>
  <c r="K101" i="2"/>
  <c r="I101" i="2"/>
  <c r="J101" i="2" s="1"/>
  <c r="K100" i="2"/>
  <c r="I100" i="2"/>
  <c r="J100" i="2" s="1"/>
  <c r="K99" i="2"/>
  <c r="I99" i="2"/>
  <c r="J99" i="2" s="1"/>
  <c r="K98" i="2"/>
  <c r="I98" i="2"/>
  <c r="J98" i="2" s="1"/>
  <c r="K97" i="2"/>
  <c r="I97" i="2"/>
  <c r="J97" i="2" s="1"/>
  <c r="K96" i="2"/>
  <c r="I96" i="2"/>
  <c r="J96" i="2" s="1"/>
  <c r="K95" i="2"/>
  <c r="I95" i="2"/>
  <c r="J95" i="2" s="1"/>
  <c r="K94" i="2"/>
  <c r="I94" i="2"/>
  <c r="J94" i="2" s="1"/>
  <c r="K93" i="2"/>
  <c r="I93" i="2"/>
  <c r="J93" i="2" s="1"/>
  <c r="K92" i="2"/>
  <c r="I92" i="2"/>
  <c r="J92" i="2" s="1"/>
  <c r="K91" i="2"/>
  <c r="I91" i="2"/>
  <c r="J91" i="2" s="1"/>
  <c r="K90" i="2"/>
  <c r="I90" i="2"/>
  <c r="J90" i="2" s="1"/>
  <c r="K89" i="2"/>
  <c r="I89" i="2"/>
  <c r="J89" i="2" s="1"/>
  <c r="K88" i="2"/>
  <c r="I88" i="2"/>
  <c r="J88" i="2" s="1"/>
  <c r="K87" i="2"/>
  <c r="I87" i="2"/>
  <c r="J87" i="2" s="1"/>
  <c r="K86" i="2"/>
  <c r="I86" i="2"/>
  <c r="J86" i="2" s="1"/>
  <c r="K85" i="2"/>
  <c r="I85" i="2"/>
  <c r="J85" i="2" s="1"/>
  <c r="K84" i="2"/>
  <c r="I84" i="2"/>
  <c r="J84" i="2" s="1"/>
  <c r="K83" i="2"/>
  <c r="I83" i="2"/>
  <c r="J83" i="2" s="1"/>
  <c r="K82" i="2"/>
  <c r="I82" i="2"/>
  <c r="J82" i="2" s="1"/>
  <c r="K81" i="2"/>
  <c r="I81" i="2"/>
  <c r="J81" i="2" s="1"/>
  <c r="K80" i="2"/>
  <c r="I80" i="2"/>
  <c r="J80" i="2" s="1"/>
  <c r="K79" i="2"/>
  <c r="I79" i="2"/>
  <c r="J79" i="2" s="1"/>
  <c r="K78" i="2"/>
  <c r="I78" i="2"/>
  <c r="J78" i="2" s="1"/>
  <c r="K77" i="2"/>
  <c r="I77" i="2"/>
  <c r="J77" i="2" s="1"/>
  <c r="K76" i="2"/>
  <c r="I76" i="2"/>
  <c r="J76" i="2" s="1"/>
  <c r="K75" i="2"/>
  <c r="I75" i="2"/>
  <c r="J75" i="2" s="1"/>
  <c r="K74" i="2"/>
  <c r="I74" i="2"/>
  <c r="J74" i="2" s="1"/>
  <c r="K73" i="2"/>
  <c r="I73" i="2"/>
  <c r="J73" i="2" s="1"/>
  <c r="K72" i="2"/>
  <c r="I72" i="2"/>
  <c r="J72" i="2" s="1"/>
  <c r="K71" i="2"/>
  <c r="I71" i="2"/>
  <c r="J71" i="2" s="1"/>
  <c r="K70" i="2"/>
  <c r="I70" i="2"/>
  <c r="J70" i="2" s="1"/>
  <c r="K69" i="2"/>
  <c r="I69" i="2"/>
  <c r="J69" i="2" s="1"/>
  <c r="K68" i="2"/>
  <c r="I68" i="2"/>
  <c r="J68" i="2" s="1"/>
  <c r="K67" i="2"/>
  <c r="I67" i="2"/>
  <c r="J67" i="2" s="1"/>
  <c r="K66" i="2"/>
  <c r="I66" i="2"/>
  <c r="J66" i="2" s="1"/>
  <c r="K65" i="2"/>
  <c r="I65" i="2"/>
  <c r="J65" i="2" s="1"/>
  <c r="K64" i="2"/>
  <c r="I64" i="2"/>
  <c r="J64" i="2" s="1"/>
  <c r="K63" i="2"/>
  <c r="I63" i="2"/>
  <c r="J63" i="2" s="1"/>
  <c r="K62" i="2"/>
  <c r="I62" i="2"/>
  <c r="J62" i="2" s="1"/>
  <c r="K61" i="2"/>
  <c r="I61" i="2"/>
  <c r="J61" i="2" s="1"/>
  <c r="K60" i="2"/>
  <c r="I60" i="2"/>
  <c r="J60" i="2" s="1"/>
  <c r="K59" i="2"/>
  <c r="I59" i="2"/>
  <c r="J59" i="2" s="1"/>
  <c r="K58" i="2"/>
  <c r="I58" i="2"/>
  <c r="J58" i="2" s="1"/>
  <c r="K57" i="2"/>
  <c r="I57" i="2"/>
  <c r="J57" i="2" s="1"/>
  <c r="K56" i="2"/>
  <c r="I56" i="2"/>
  <c r="J56" i="2" s="1"/>
  <c r="K55" i="2"/>
  <c r="I55" i="2"/>
  <c r="J55" i="2" s="1"/>
  <c r="K54" i="2"/>
  <c r="I54" i="2"/>
  <c r="J54" i="2" s="1"/>
  <c r="K53" i="2"/>
  <c r="I53" i="2"/>
  <c r="J53" i="2" s="1"/>
  <c r="K52" i="2"/>
  <c r="I52" i="2"/>
  <c r="J52" i="2" s="1"/>
  <c r="K51" i="2"/>
  <c r="I51" i="2"/>
  <c r="J51" i="2" s="1"/>
  <c r="K50" i="2"/>
  <c r="I50" i="2"/>
  <c r="J50" i="2" s="1"/>
  <c r="K49" i="2"/>
  <c r="I49" i="2"/>
  <c r="J49" i="2" s="1"/>
  <c r="K48" i="2"/>
  <c r="I48" i="2"/>
  <c r="J48" i="2" s="1"/>
  <c r="K47" i="2"/>
  <c r="I47" i="2"/>
  <c r="J47" i="2" s="1"/>
  <c r="K46" i="2"/>
  <c r="I46" i="2"/>
  <c r="J46" i="2" s="1"/>
  <c r="K45" i="2"/>
  <c r="I45" i="2"/>
  <c r="J45" i="2" s="1"/>
  <c r="K44" i="2"/>
  <c r="I44" i="2"/>
  <c r="J44" i="2" s="1"/>
  <c r="K43" i="2"/>
  <c r="I43" i="2"/>
  <c r="J43" i="2" s="1"/>
  <c r="K42" i="2"/>
  <c r="I42" i="2"/>
  <c r="J42" i="2" s="1"/>
  <c r="K41" i="2"/>
  <c r="I41" i="2"/>
  <c r="J41" i="2" s="1"/>
  <c r="K40" i="2"/>
  <c r="I40" i="2"/>
  <c r="J40" i="2" s="1"/>
  <c r="K39" i="2"/>
  <c r="I39" i="2"/>
  <c r="J39" i="2" s="1"/>
  <c r="K38" i="2"/>
  <c r="I38" i="2"/>
  <c r="J38" i="2" s="1"/>
  <c r="K37" i="2"/>
  <c r="I37" i="2"/>
  <c r="J37" i="2" s="1"/>
  <c r="K36" i="2"/>
  <c r="I36" i="2"/>
  <c r="J36" i="2" s="1"/>
  <c r="K35" i="2"/>
  <c r="I35" i="2"/>
  <c r="J35" i="2" s="1"/>
  <c r="K34" i="2"/>
  <c r="I34" i="2"/>
  <c r="J34" i="2" s="1"/>
  <c r="K33" i="2"/>
  <c r="I33" i="2"/>
  <c r="J33" i="2" s="1"/>
  <c r="K32" i="2"/>
  <c r="I32" i="2"/>
  <c r="J32" i="2" s="1"/>
  <c r="K31" i="2"/>
  <c r="I31" i="2"/>
  <c r="J31" i="2" s="1"/>
  <c r="K30" i="2"/>
  <c r="I30" i="2"/>
  <c r="J30" i="2" s="1"/>
  <c r="K29" i="2"/>
  <c r="I29" i="2"/>
  <c r="J29" i="2" s="1"/>
  <c r="K28" i="2"/>
  <c r="I28" i="2"/>
  <c r="J28" i="2" s="1"/>
  <c r="K27" i="2"/>
  <c r="I27" i="2"/>
  <c r="J27" i="2" s="1"/>
  <c r="K26" i="2"/>
  <c r="I26" i="2"/>
  <c r="J26" i="2" s="1"/>
  <c r="O25" i="2"/>
  <c r="K25" i="2"/>
  <c r="I25" i="2"/>
  <c r="J25" i="2" s="1"/>
  <c r="O24" i="2"/>
  <c r="K24" i="2"/>
  <c r="I24" i="2"/>
  <c r="J24" i="2" s="1"/>
  <c r="O23" i="2"/>
  <c r="K23" i="2"/>
  <c r="I23" i="2"/>
  <c r="J23" i="2" s="1"/>
  <c r="O22" i="2"/>
  <c r="O26" i="2" s="1"/>
  <c r="K22" i="2"/>
  <c r="I22" i="2"/>
  <c r="J22" i="2" s="1"/>
  <c r="K21" i="2"/>
  <c r="I21" i="2"/>
  <c r="J21" i="2" s="1"/>
  <c r="K20" i="2"/>
  <c r="I20" i="2"/>
  <c r="J20" i="2" s="1"/>
  <c r="K19" i="2"/>
  <c r="I19" i="2"/>
  <c r="J19" i="2" s="1"/>
  <c r="K18" i="2"/>
  <c r="I18" i="2"/>
  <c r="J18" i="2" s="1"/>
  <c r="K17" i="2"/>
  <c r="I17" i="2"/>
  <c r="J17" i="2" s="1"/>
  <c r="K16" i="2"/>
  <c r="I16" i="2"/>
  <c r="J16" i="2" s="1"/>
  <c r="K15" i="2"/>
  <c r="I15" i="2"/>
  <c r="J15" i="2" s="1"/>
  <c r="K14" i="2"/>
  <c r="I14" i="2"/>
  <c r="J14" i="2" s="1"/>
  <c r="K13" i="2"/>
  <c r="I13" i="2"/>
  <c r="J13" i="2" s="1"/>
  <c r="K12" i="2"/>
  <c r="I12" i="2"/>
  <c r="J12" i="2" s="1"/>
  <c r="K11" i="2"/>
  <c r="I11" i="2"/>
  <c r="J11" i="2" s="1"/>
  <c r="K10" i="2"/>
  <c r="I10" i="2"/>
  <c r="J10" i="2" s="1"/>
  <c r="O9" i="2"/>
  <c r="K9" i="2"/>
  <c r="I9" i="2"/>
  <c r="J9" i="2" s="1"/>
  <c r="K8" i="2"/>
  <c r="I8" i="2"/>
  <c r="J8" i="2" s="1"/>
  <c r="K7" i="2"/>
  <c r="I7" i="2"/>
  <c r="J7" i="2" s="1"/>
  <c r="O6" i="2"/>
  <c r="K6" i="2"/>
  <c r="I6" i="2"/>
  <c r="J6" i="2" s="1"/>
  <c r="K5" i="2"/>
  <c r="O7" i="2" s="1"/>
  <c r="I5" i="2"/>
  <c r="J5" i="2" s="1"/>
  <c r="C10" i="1"/>
  <c r="B10" i="1"/>
  <c r="D9" i="1"/>
  <c r="D8" i="1"/>
  <c r="D7" i="1"/>
  <c r="D6" i="1"/>
  <c r="D5" i="1"/>
  <c r="D10" i="1" s="1"/>
  <c r="O8" i="2" l="1"/>
  <c r="O10" i="2"/>
  <c r="O15" i="2"/>
  <c r="O11" i="2" l="1"/>
  <c r="O12" i="2"/>
</calcChain>
</file>

<file path=xl/sharedStrings.xml><?xml version="1.0" encoding="utf-8"?>
<sst xmlns="http://schemas.openxmlformats.org/spreadsheetml/2006/main" count="4677" uniqueCount="1038">
  <si>
    <t>Resumen del presupuesto por disciplina — STAP (hipotético)</t>
  </si>
  <si>
    <t>Costo total objetivo: USD 55.520.000 · 762 APU</t>
  </si>
  <si>
    <t>Disciplina</t>
  </si>
  <si>
    <t>N.º APU</t>
  </si>
  <si>
    <t>Presupuesto (USD)</t>
  </si>
  <si>
    <t>% del total</t>
  </si>
  <si>
    <t>Civil</t>
  </si>
  <si>
    <t>Mecánica estática</t>
  </si>
  <si>
    <t>Rotativa</t>
  </si>
  <si>
    <t>Instrumentación</t>
  </si>
  <si>
    <t>Eléctrica</t>
  </si>
  <si>
    <t>TOTAL</t>
  </si>
  <si>
    <t>Cálculo de indicadores de avance y valor ganado (EVM) — STAP</t>
  </si>
  <si>
    <t>Tabla consolidada con fórmulas por actividad. Indicadores con fórmulas vivas (bloque derecho).</t>
  </si>
  <si>
    <t>id_actividad</t>
  </si>
  <si>
    <t>disciplina</t>
  </si>
  <si>
    <t>unidad</t>
  </si>
  <si>
    <t>cant_plan</t>
  </si>
  <si>
    <t>cant_ejec</t>
  </si>
  <si>
    <t>peso_usd</t>
  </si>
  <si>
    <t>av_plan</t>
  </si>
  <si>
    <t>costo_real</t>
  </si>
  <si>
    <t>avance_i</t>
  </si>
  <si>
    <t>EV_i</t>
  </si>
  <si>
    <t>PV_i</t>
  </si>
  <si>
    <t>INDICADORES CONSOLIDADOS</t>
  </si>
  <si>
    <t>STAP-CIV-001</t>
  </si>
  <si>
    <t>m2</t>
  </si>
  <si>
    <t>STAP-CIV-002</t>
  </si>
  <si>
    <t>m3</t>
  </si>
  <si>
    <t>Presupuesto total (Σ peso)</t>
  </si>
  <si>
    <t>STAP-CIV-003</t>
  </si>
  <si>
    <t>m</t>
  </si>
  <si>
    <t>PV — Valor planificado</t>
  </si>
  <si>
    <t>STAP-CIV-004</t>
  </si>
  <si>
    <t>EV — Valor ganado</t>
  </si>
  <si>
    <t>STAP-CIV-005</t>
  </si>
  <si>
    <t>AC — Costo real</t>
  </si>
  <si>
    <t>STAP-CIV-006</t>
  </si>
  <si>
    <t>Avance físico consolidado</t>
  </si>
  <si>
    <t>STAP-CIV-007</t>
  </si>
  <si>
    <t>SPI = EV / PV</t>
  </si>
  <si>
    <t>STAP-CIV-008</t>
  </si>
  <si>
    <t>CPI = EV / AC</t>
  </si>
  <si>
    <t>STAP-CIV-009</t>
  </si>
  <si>
    <t>kg</t>
  </si>
  <si>
    <t>STAP-CIV-010</t>
  </si>
  <si>
    <t>AVANCE POR DISCIPLINA</t>
  </si>
  <si>
    <t>STAP-CIV-011</t>
  </si>
  <si>
    <t>STAP-CIV-012</t>
  </si>
  <si>
    <t>STAP-CIV-013</t>
  </si>
  <si>
    <t>STAP-CIV-014</t>
  </si>
  <si>
    <t>STAP-CIV-015</t>
  </si>
  <si>
    <t>STAP-CIV-016</t>
  </si>
  <si>
    <t>STAP-CIV-017</t>
  </si>
  <si>
    <t>VERIFICACIÓN DE INCONSISTENCIAS</t>
  </si>
  <si>
    <t>STAP-CIV-018</t>
  </si>
  <si>
    <t>Sobre-ejecución (ejec&gt;plan)</t>
  </si>
  <si>
    <t>STAP-CIV-019</t>
  </si>
  <si>
    <t>Peso nulo o negativo</t>
  </si>
  <si>
    <t>STAP-CIV-020</t>
  </si>
  <si>
    <t>Unidad no reconocida</t>
  </si>
  <si>
    <t>STAP-CIV-021</t>
  </si>
  <si>
    <t>IDs duplicados (extra)</t>
  </si>
  <si>
    <t>STAP-CIV-022</t>
  </si>
  <si>
    <t>TOTAL inconsistencias</t>
  </si>
  <si>
    <t>STAP-CIV-023</t>
  </si>
  <si>
    <t>STAP-CIV-024</t>
  </si>
  <si>
    <t>STAP-CIV-025</t>
  </si>
  <si>
    <t>STAP-CIV-026</t>
  </si>
  <si>
    <t>STAP-CIV-027</t>
  </si>
  <si>
    <t>STAP-CIV-028</t>
  </si>
  <si>
    <t>STAP-CIV-029</t>
  </si>
  <si>
    <t>STAP-CIV-030</t>
  </si>
  <si>
    <t>m^3</t>
  </si>
  <si>
    <t>STAP-CIV-031</t>
  </si>
  <si>
    <t>STAP-CIV-032</t>
  </si>
  <si>
    <t>STAP-CIV-033</t>
  </si>
  <si>
    <t>STAP-CIV-034</t>
  </si>
  <si>
    <t>STAP-CIV-035</t>
  </si>
  <si>
    <t>STAP-CIV-036</t>
  </si>
  <si>
    <t>STAP-CIV-037</t>
  </si>
  <si>
    <t>STAP-CIV-038</t>
  </si>
  <si>
    <t>STAP-CIV-039</t>
  </si>
  <si>
    <t>STAP-CIV-040</t>
  </si>
  <si>
    <t>STAP-CIV-041</t>
  </si>
  <si>
    <t>STAP-CIV-042</t>
  </si>
  <si>
    <t>STAP-CIV-043</t>
  </si>
  <si>
    <t>STAP-CIV-044</t>
  </si>
  <si>
    <t>STAP-CIV-045</t>
  </si>
  <si>
    <t>STAP-CIV-046</t>
  </si>
  <si>
    <t>STAP-CIV-047</t>
  </si>
  <si>
    <t>STAP-CIV-048</t>
  </si>
  <si>
    <t>STAP-CIV-049</t>
  </si>
  <si>
    <t>STAP-CIV-050</t>
  </si>
  <si>
    <t>STAP-CIV-051</t>
  </si>
  <si>
    <t>STAP-CIV-052</t>
  </si>
  <si>
    <t>STAP-CIV-053</t>
  </si>
  <si>
    <t>STAP-CIV-054</t>
  </si>
  <si>
    <t>STAP-CIV-055</t>
  </si>
  <si>
    <t>STAP-CIV-056</t>
  </si>
  <si>
    <t>STAP-CIV-057</t>
  </si>
  <si>
    <t>STAP-CIV-058</t>
  </si>
  <si>
    <t>STAP-CIV-059</t>
  </si>
  <si>
    <t>STAP-CIV-060</t>
  </si>
  <si>
    <t>STAP-CIV-061</t>
  </si>
  <si>
    <t>STAP-CIV-062</t>
  </si>
  <si>
    <t>STAP-CIV-063</t>
  </si>
  <si>
    <t>STAP-CIV-064</t>
  </si>
  <si>
    <t>STAP-CIV-065</t>
  </si>
  <si>
    <t>STAP-CIV-066</t>
  </si>
  <si>
    <t>STAP-CIV-067</t>
  </si>
  <si>
    <t>STAP-CIV-068</t>
  </si>
  <si>
    <t>STAP-CIV-069</t>
  </si>
  <si>
    <t>STAP-CIV-070</t>
  </si>
  <si>
    <t>STAP-CIV-071</t>
  </si>
  <si>
    <t>STAP-CIV-072</t>
  </si>
  <si>
    <t>STAP-CIV-073</t>
  </si>
  <si>
    <t>STAP-CIV-074</t>
  </si>
  <si>
    <t>STAP-CIV-075</t>
  </si>
  <si>
    <t>STAP-CIV-076</t>
  </si>
  <si>
    <t>STAP-CIV-077</t>
  </si>
  <si>
    <t>STAP-CIV-078</t>
  </si>
  <si>
    <t>STAP-CIV-079</t>
  </si>
  <si>
    <t>STAP-CIV-080</t>
  </si>
  <si>
    <t>STAP-CIV-081</t>
  </si>
  <si>
    <t>STAP-CIV-082</t>
  </si>
  <si>
    <t>STAP-CIV-083</t>
  </si>
  <si>
    <t>STAP-CIV-084</t>
  </si>
  <si>
    <t>STAP-CIV-085</t>
  </si>
  <si>
    <t>STAP-CIV-086</t>
  </si>
  <si>
    <t>STAP-CIV-087</t>
  </si>
  <si>
    <t>STAP-CIV-088</t>
  </si>
  <si>
    <t>STAP-CIV-089</t>
  </si>
  <si>
    <t>STAP-CIV-090</t>
  </si>
  <si>
    <t>STAP-CIV-091</t>
  </si>
  <si>
    <t>STAP-CIV-092</t>
  </si>
  <si>
    <t>STAP-CIV-093</t>
  </si>
  <si>
    <t>STAP-CIV-094</t>
  </si>
  <si>
    <t>STAP-CIV-095</t>
  </si>
  <si>
    <t>STAP-CIV-096</t>
  </si>
  <si>
    <t>STAP-CIV-097</t>
  </si>
  <si>
    <t>STAP-CIV-098</t>
  </si>
  <si>
    <t>STAP-CIV-099</t>
  </si>
  <si>
    <t>STAP-CIV-100</t>
  </si>
  <si>
    <t>STAP-CIV-101</t>
  </si>
  <si>
    <t>STAP-CIV-102</t>
  </si>
  <si>
    <t>STAP-CIV-103</t>
  </si>
  <si>
    <t>STAP-CIV-104</t>
  </si>
  <si>
    <t>STAP-CIV-105</t>
  </si>
  <si>
    <t>STAP-CIV-106</t>
  </si>
  <si>
    <t>STAP-CIV-107</t>
  </si>
  <si>
    <t>STAP-CIV-108</t>
  </si>
  <si>
    <t>STAP-CIV-109</t>
  </si>
  <si>
    <t>STAP-CIV-110</t>
  </si>
  <si>
    <t>STAP-CIV-111</t>
  </si>
  <si>
    <t>STAP-CIV-112</t>
  </si>
  <si>
    <t>STAP-CIV-113</t>
  </si>
  <si>
    <t>STAP-CIV-114</t>
  </si>
  <si>
    <t>STAP-CIV-115</t>
  </si>
  <si>
    <t>STAP-CIV-116</t>
  </si>
  <si>
    <t>STAP-CIV-117</t>
  </si>
  <si>
    <t>STAP-CIV-118</t>
  </si>
  <si>
    <t>STAP-CIV-119</t>
  </si>
  <si>
    <t>STAP-CIV-120</t>
  </si>
  <si>
    <t>STAP-CIV-121</t>
  </si>
  <si>
    <t>STAP-CIV-122</t>
  </si>
  <si>
    <t>STAP-CIV-123</t>
  </si>
  <si>
    <t>STAP-CIV-124</t>
  </si>
  <si>
    <t>STAP-CIV-125</t>
  </si>
  <si>
    <t>STAP-CIV-126</t>
  </si>
  <si>
    <t>STAP-CIV-127</t>
  </si>
  <si>
    <t>STAP-CIV-128</t>
  </si>
  <si>
    <t>STAP-CIV-129</t>
  </si>
  <si>
    <t>STAP-CIV-130</t>
  </si>
  <si>
    <t>STAP-CIV-131</t>
  </si>
  <si>
    <t>STAP-CIV-132</t>
  </si>
  <si>
    <t>STAP-CIV-133</t>
  </si>
  <si>
    <t>STAP-CIV-134</t>
  </si>
  <si>
    <t>STAP-CIV-135</t>
  </si>
  <si>
    <t>STAP-CIV-136</t>
  </si>
  <si>
    <t>STAP-CIV-137</t>
  </si>
  <si>
    <t>STAP-CIV-138</t>
  </si>
  <si>
    <t>STAP-CIV-139</t>
  </si>
  <si>
    <t>STAP-CIV-140</t>
  </si>
  <si>
    <t>STAP-CIV-141</t>
  </si>
  <si>
    <t>STAP-CIV-142</t>
  </si>
  <si>
    <t>STAP-CIV-143</t>
  </si>
  <si>
    <t>STAP-CIV-144</t>
  </si>
  <si>
    <t>STAP-CIV-145</t>
  </si>
  <si>
    <t>STAP-CIV-146</t>
  </si>
  <si>
    <t>STAP-CIV-147</t>
  </si>
  <si>
    <t>STAP-CIV-148</t>
  </si>
  <si>
    <t>STAP-CIV-149</t>
  </si>
  <si>
    <t>STAP-CIV-150</t>
  </si>
  <si>
    <t>STAP-CIV-151</t>
  </si>
  <si>
    <t>STAP-CIV-152</t>
  </si>
  <si>
    <t>STAP-CIV-153</t>
  </si>
  <si>
    <t>STAP-CIV-154</t>
  </si>
  <si>
    <t>STAP-CIV-155</t>
  </si>
  <si>
    <t>STAP-CIV-156</t>
  </si>
  <si>
    <t>STAP-CIV-157</t>
  </si>
  <si>
    <t>STAP-CIV-158</t>
  </si>
  <si>
    <t>STAP-CIV-159</t>
  </si>
  <si>
    <t>STAP-CIV-160</t>
  </si>
  <si>
    <t>STAP-CIV-161</t>
  </si>
  <si>
    <t>STAP-CIV-162</t>
  </si>
  <si>
    <t>STAP-CIV-163</t>
  </si>
  <si>
    <t>STAP-CIV-164</t>
  </si>
  <si>
    <t>STAP-CIV-165</t>
  </si>
  <si>
    <t>STAP-CIV-166</t>
  </si>
  <si>
    <t>STAP-CIV-167</t>
  </si>
  <si>
    <t>STAP-CIV-168</t>
  </si>
  <si>
    <t>STAP-CIV-169</t>
  </si>
  <si>
    <t>STAP-CIV-170</t>
  </si>
  <si>
    <t>STAP-CIV-171</t>
  </si>
  <si>
    <t>STAP-CIV-172</t>
  </si>
  <si>
    <t>STAP-CIV-173</t>
  </si>
  <si>
    <t>STAP-CIV-174</t>
  </si>
  <si>
    <t>STAP-CIV-175</t>
  </si>
  <si>
    <t>STAP-CIV-176</t>
  </si>
  <si>
    <t>STAP-CIV-177</t>
  </si>
  <si>
    <t>STAP-CIV-178</t>
  </si>
  <si>
    <t>STAP-CIV-179</t>
  </si>
  <si>
    <t>STAP-CIV-180</t>
  </si>
  <si>
    <t>STAP-CIV-181</t>
  </si>
  <si>
    <t>STAP-CIV-182</t>
  </si>
  <si>
    <t>STAP-CIV-183</t>
  </si>
  <si>
    <t>STAP-CIV-184</t>
  </si>
  <si>
    <t>STAP-CIV-185</t>
  </si>
  <si>
    <t>STAP-CIV-186</t>
  </si>
  <si>
    <t>STAP-CIV-187</t>
  </si>
  <si>
    <t>STAP-CIV-188</t>
  </si>
  <si>
    <t>STAP-CIV-189</t>
  </si>
  <si>
    <t>STAP-CIV-190</t>
  </si>
  <si>
    <t>STAP-CIV-191</t>
  </si>
  <si>
    <t>STAP-MEC-001</t>
  </si>
  <si>
    <t>und</t>
  </si>
  <si>
    <t>STAP-MEC-002</t>
  </si>
  <si>
    <t>STAP-MEC-003</t>
  </si>
  <si>
    <t>pulg_diam</t>
  </si>
  <si>
    <t>STAP-MEC-004</t>
  </si>
  <si>
    <t>STAP-MEC-005</t>
  </si>
  <si>
    <t>STAP-MEC-006</t>
  </si>
  <si>
    <t>STAP-MEC-007</t>
  </si>
  <si>
    <t>STAP-MEC-008</t>
  </si>
  <si>
    <t>STAP-MEC-009</t>
  </si>
  <si>
    <t>STAP-MEC-010</t>
  </si>
  <si>
    <t>STAP-MEC-011</t>
  </si>
  <si>
    <t>STAP-MEC-012</t>
  </si>
  <si>
    <t>STAP-MEC-013</t>
  </si>
  <si>
    <t>STAP-MEC-014</t>
  </si>
  <si>
    <t>STAP-MEC-015</t>
  </si>
  <si>
    <t>STAP-MEC-016</t>
  </si>
  <si>
    <t>STAP-MEC-017</t>
  </si>
  <si>
    <t>STAP-MEC-018</t>
  </si>
  <si>
    <t>STAP-MEC-019</t>
  </si>
  <si>
    <t>STAP-MEC-020</t>
  </si>
  <si>
    <t>STAP-MEC-021</t>
  </si>
  <si>
    <t>STAP-MEC-022</t>
  </si>
  <si>
    <t>STAP-MEC-023</t>
  </si>
  <si>
    <t>STAP-MEC-024</t>
  </si>
  <si>
    <t>STAP-MEC-025</t>
  </si>
  <si>
    <t>STAP-MEC-026</t>
  </si>
  <si>
    <t>STAP-MEC-027</t>
  </si>
  <si>
    <t>STAP-MEC-028</t>
  </si>
  <si>
    <t>STAP-MEC-029</t>
  </si>
  <si>
    <t>STAP-MEC-030</t>
  </si>
  <si>
    <t>STAP-MEC-031</t>
  </si>
  <si>
    <t>STAP-MEC-032</t>
  </si>
  <si>
    <t>STAP-MEC-033</t>
  </si>
  <si>
    <t>STAP-MEC-034</t>
  </si>
  <si>
    <t>STAP-MEC-035</t>
  </si>
  <si>
    <t>STAP-MEC-036</t>
  </si>
  <si>
    <t>STAP-MEC-037</t>
  </si>
  <si>
    <t>STAP-MEC-038</t>
  </si>
  <si>
    <t>STAP-MEC-039</t>
  </si>
  <si>
    <t>STAP-MEC-040</t>
  </si>
  <si>
    <t>STAP-MEC-041</t>
  </si>
  <si>
    <t>STAP-MEC-042</t>
  </si>
  <si>
    <t>STAP-MEC-043</t>
  </si>
  <si>
    <t>STAP-MEC-044</t>
  </si>
  <si>
    <t>STAP-MEC-045</t>
  </si>
  <si>
    <t>STAP-MEC-046</t>
  </si>
  <si>
    <t>STAP-MEC-047</t>
  </si>
  <si>
    <t>STAP-MEC-048</t>
  </si>
  <si>
    <t>STAP-MEC-049</t>
  </si>
  <si>
    <t>STAP-MEC-050</t>
  </si>
  <si>
    <t>STAP-MEC-051</t>
  </si>
  <si>
    <t>STAP-MEC-052</t>
  </si>
  <si>
    <t>STAP-MEC-053</t>
  </si>
  <si>
    <t>STAP-MEC-054</t>
  </si>
  <si>
    <t>STAP-MEC-055</t>
  </si>
  <si>
    <t>STAP-MEC-056</t>
  </si>
  <si>
    <t>STAP-MEC-057</t>
  </si>
  <si>
    <t>STAP-MEC-058</t>
  </si>
  <si>
    <t>STAP-MEC-059</t>
  </si>
  <si>
    <t>STAP-MEC-060</t>
  </si>
  <si>
    <t>STAP-MEC-061</t>
  </si>
  <si>
    <t>STAP-MEC-062</t>
  </si>
  <si>
    <t>STAP-MEC-063</t>
  </si>
  <si>
    <t>STAP-MEC-064</t>
  </si>
  <si>
    <t>STAP-MEC-065</t>
  </si>
  <si>
    <t>STAP-MEC-066</t>
  </si>
  <si>
    <t>STAP-MEC-067</t>
  </si>
  <si>
    <t>STAP-MEC-068</t>
  </si>
  <si>
    <t>STAP-MEC-069</t>
  </si>
  <si>
    <t>STAP-MEC-070</t>
  </si>
  <si>
    <t>STAP-MEC-071</t>
  </si>
  <si>
    <t>STAP-MEC-072</t>
  </si>
  <si>
    <t>STAP-MEC-073</t>
  </si>
  <si>
    <t>STAP-MEC-074</t>
  </si>
  <si>
    <t>STAP-MEC-075</t>
  </si>
  <si>
    <t>STAP-MEC-076</t>
  </si>
  <si>
    <t>STAP-MEC-077</t>
  </si>
  <si>
    <t>STAP-MEC-078</t>
  </si>
  <si>
    <t>STAP-MEC-079</t>
  </si>
  <si>
    <t>STAP-MEC-080</t>
  </si>
  <si>
    <t>STAP-MEC-081</t>
  </si>
  <si>
    <t>STAP-MEC-082</t>
  </si>
  <si>
    <t>STAP-MEC-083</t>
  </si>
  <si>
    <t>STAP-MEC-084</t>
  </si>
  <si>
    <t>STAP-MEC-085</t>
  </si>
  <si>
    <t>STAP-MEC-086</t>
  </si>
  <si>
    <t>STAP-MEC-087</t>
  </si>
  <si>
    <t>STAP-MEC-088</t>
  </si>
  <si>
    <t>STAP-MEC-089</t>
  </si>
  <si>
    <t>STAP-MEC-090</t>
  </si>
  <si>
    <t>STAP-MEC-091</t>
  </si>
  <si>
    <t>STAP-MEC-092</t>
  </si>
  <si>
    <t>STAP-MEC-093</t>
  </si>
  <si>
    <t>STAP-MEC-094</t>
  </si>
  <si>
    <t>STAP-MEC-095</t>
  </si>
  <si>
    <t>STAP-MEC-096</t>
  </si>
  <si>
    <t>STAP-MEC-097</t>
  </si>
  <si>
    <t>STAP-MEC-098</t>
  </si>
  <si>
    <t>STAP-MEC-099</t>
  </si>
  <si>
    <t>STAP-MEC-100</t>
  </si>
  <si>
    <t>STAP-MEC-101</t>
  </si>
  <si>
    <t>STAP-MEC-102</t>
  </si>
  <si>
    <t>STAP-MEC-103</t>
  </si>
  <si>
    <t>STAP-MEC-104</t>
  </si>
  <si>
    <t>STAP-MEC-105</t>
  </si>
  <si>
    <t>STAP-MEC-106</t>
  </si>
  <si>
    <t>STAP-MEC-107</t>
  </si>
  <si>
    <t>STAP-MEC-108</t>
  </si>
  <si>
    <t>STAP-MEC-109</t>
  </si>
  <si>
    <t>STAP-MEC-110</t>
  </si>
  <si>
    <t>STAP-MEC-111</t>
  </si>
  <si>
    <t>STAP-MEC-112</t>
  </si>
  <si>
    <t>STAP-MEC-113</t>
  </si>
  <si>
    <t>STAP-MEC-114</t>
  </si>
  <si>
    <t>STAP-MEC-115</t>
  </si>
  <si>
    <t>STAP-MEC-116</t>
  </si>
  <si>
    <t>STAP-MEC-117</t>
  </si>
  <si>
    <t>STAP-MEC-118</t>
  </si>
  <si>
    <t>STAP-MEC-119</t>
  </si>
  <si>
    <t>STAP-MEC-120</t>
  </si>
  <si>
    <t>STAP-MEC-121</t>
  </si>
  <si>
    <t>STAP-MEC-122</t>
  </si>
  <si>
    <t>STAP-MEC-123</t>
  </si>
  <si>
    <t>STAP-MEC-124</t>
  </si>
  <si>
    <t>STAP-MEC-125</t>
  </si>
  <si>
    <t>STAP-MEC-126</t>
  </si>
  <si>
    <t>STAP-MEC-127</t>
  </si>
  <si>
    <t>STAP-MEC-128</t>
  </si>
  <si>
    <t>STAP-MEC-129</t>
  </si>
  <si>
    <t>STAP-MEC-130</t>
  </si>
  <si>
    <t>STAP-MEC-131</t>
  </si>
  <si>
    <t>STAP-MEC-132</t>
  </si>
  <si>
    <t>STAP-MEC-133</t>
  </si>
  <si>
    <t>STAP-MEC-134</t>
  </si>
  <si>
    <t>STAP-MEC-135</t>
  </si>
  <si>
    <t>STAP-MEC-136</t>
  </si>
  <si>
    <t>STAP-MEC-137</t>
  </si>
  <si>
    <t>STAP-MEC-138</t>
  </si>
  <si>
    <t>STAP-MEC-139</t>
  </si>
  <si>
    <t>STAP-MEC-140</t>
  </si>
  <si>
    <t>STAP-MEC-141</t>
  </si>
  <si>
    <t>STAP-MEC-142</t>
  </si>
  <si>
    <t>STAP-MEC-143</t>
  </si>
  <si>
    <t>STAP-MEC-144</t>
  </si>
  <si>
    <t>STAP-MEC-145</t>
  </si>
  <si>
    <t>STAP-MEC-146</t>
  </si>
  <si>
    <t>STAP-MEC-147</t>
  </si>
  <si>
    <t>STAP-MEC-148</t>
  </si>
  <si>
    <t>STAP-MEC-149</t>
  </si>
  <si>
    <t>STAP-MEC-150</t>
  </si>
  <si>
    <t>STAP-MEC-151</t>
  </si>
  <si>
    <t>STAP-MEC-152</t>
  </si>
  <si>
    <t>STAP-MEC-153</t>
  </si>
  <si>
    <t>STAP-MEC-154</t>
  </si>
  <si>
    <t>STAP-MEC-155</t>
  </si>
  <si>
    <t>STAP-MEC-156</t>
  </si>
  <si>
    <t>STAP-MEC-157</t>
  </si>
  <si>
    <t>STAP-MEC-158</t>
  </si>
  <si>
    <t>STAP-MEC-159</t>
  </si>
  <si>
    <t>STAP-MEC-160</t>
  </si>
  <si>
    <t>STAP-MEC-161</t>
  </si>
  <si>
    <t>STAP-MEC-162</t>
  </si>
  <si>
    <t>STAP-MEC-163</t>
  </si>
  <si>
    <t>STAP-MEC-164</t>
  </si>
  <si>
    <t>STAP-MEC-165</t>
  </si>
  <si>
    <t>STAP-MEC-166</t>
  </si>
  <si>
    <t>STAP-MEC-167</t>
  </si>
  <si>
    <t>STAP-MEC-168</t>
  </si>
  <si>
    <t>STAP-MEC-169</t>
  </si>
  <si>
    <t>STAP-MEC-170</t>
  </si>
  <si>
    <t>STAP-MEC-171</t>
  </si>
  <si>
    <t>STAP-MEC-172</t>
  </si>
  <si>
    <t>STAP-MEC-173</t>
  </si>
  <si>
    <t>STAP-MEC-174</t>
  </si>
  <si>
    <t>STAP-MEC-175</t>
  </si>
  <si>
    <t>STAP-MEC-176</t>
  </si>
  <si>
    <t>STAP-MEC-177</t>
  </si>
  <si>
    <t>STAP-MEC-178</t>
  </si>
  <si>
    <t>STAP-MEC-179</t>
  </si>
  <si>
    <t>STAP-MEC-180</t>
  </si>
  <si>
    <t>STAP-MEC-181</t>
  </si>
  <si>
    <t>STAP-MEC-182</t>
  </si>
  <si>
    <t>STAP-MEC-183</t>
  </si>
  <si>
    <t>STAP-MEC-184</t>
  </si>
  <si>
    <t>STAP-MEC-185</t>
  </si>
  <si>
    <t>STAP-MEC-186</t>
  </si>
  <si>
    <t>STAP-MEC-187</t>
  </si>
  <si>
    <t>STAP-MEC-188</t>
  </si>
  <si>
    <t>STAP-MEC-189</t>
  </si>
  <si>
    <t>STAP-MEC-190</t>
  </si>
  <si>
    <t>STAP-MEC-191</t>
  </si>
  <si>
    <t>STAP-MEC-192</t>
  </si>
  <si>
    <t>STAP-MEC-193</t>
  </si>
  <si>
    <t>STAP-MEC-194</t>
  </si>
  <si>
    <t>STAP-MEC-195</t>
  </si>
  <si>
    <t>STAP-MEC-196</t>
  </si>
  <si>
    <t>STAP-MEC-197</t>
  </si>
  <si>
    <t>STAP-MEC-198</t>
  </si>
  <si>
    <t>STAP-MEC-199</t>
  </si>
  <si>
    <t>STAP-MEC-200</t>
  </si>
  <si>
    <t>STAP-MEC-201</t>
  </si>
  <si>
    <t>STAP-MEC-202</t>
  </si>
  <si>
    <t>STAP-MEC-203</t>
  </si>
  <si>
    <t>STAP-MEC-204</t>
  </si>
  <si>
    <t>STAP-MEC-205</t>
  </si>
  <si>
    <t>STAP-MEC-206</t>
  </si>
  <si>
    <t>STAP-MEC-207</t>
  </si>
  <si>
    <t>STAP-MEC-208</t>
  </si>
  <si>
    <t>STAP-MEC-209</t>
  </si>
  <si>
    <t>STAP-MEC-210</t>
  </si>
  <si>
    <t>STAP-MEC-211</t>
  </si>
  <si>
    <t>STAP-MEC-212</t>
  </si>
  <si>
    <t>STAP-MEC-213</t>
  </si>
  <si>
    <t>STAP-MEC-214</t>
  </si>
  <si>
    <t>STAP-MEC-215</t>
  </si>
  <si>
    <t>STAP-MEC-216</t>
  </si>
  <si>
    <t>STAP-MEC-217</t>
  </si>
  <si>
    <t>STAP-MEC-218</t>
  </si>
  <si>
    <t>STAP-MEC-219</t>
  </si>
  <si>
    <t>STAP-MEC-220</t>
  </si>
  <si>
    <t>STAP-MEC-221</t>
  </si>
  <si>
    <t>STAP-MEC-222</t>
  </si>
  <si>
    <t>STAP-MEC-223</t>
  </si>
  <si>
    <t>STAP-MEC-224</t>
  </si>
  <si>
    <t>STAP-MEC-225</t>
  </si>
  <si>
    <t>STAP-MEC-226</t>
  </si>
  <si>
    <t>STAP-MEC-227</t>
  </si>
  <si>
    <t>STAP-MEC-228</t>
  </si>
  <si>
    <t>STAP-MEC-229</t>
  </si>
  <si>
    <t>STAP-MEC-230</t>
  </si>
  <si>
    <t>STAP-MEC-231</t>
  </si>
  <si>
    <t>STAP-MEC-232</t>
  </si>
  <si>
    <t>STAP-MEC-233</t>
  </si>
  <si>
    <t>STAP-MEC-234</t>
  </si>
  <si>
    <t>STAP-MEC-235</t>
  </si>
  <si>
    <t>STAP-MEC-236</t>
  </si>
  <si>
    <t>STAP-MEC-237</t>
  </si>
  <si>
    <t>STAP-MEC-238</t>
  </si>
  <si>
    <t>STAP-MEC-239</t>
  </si>
  <si>
    <t>STAP-MEC-240</t>
  </si>
  <si>
    <t>STAP-MEC-241</t>
  </si>
  <si>
    <t>STAP-MEC-242</t>
  </si>
  <si>
    <t>STAP-MEC-243</t>
  </si>
  <si>
    <t>STAP-MEC-244</t>
  </si>
  <si>
    <t>STAP-MEC-245</t>
  </si>
  <si>
    <t>STAP-MEC-246</t>
  </si>
  <si>
    <t>STAP-MEC-247</t>
  </si>
  <si>
    <t>STAP-MEC-248</t>
  </si>
  <si>
    <t>STAP-MEC-249</t>
  </si>
  <si>
    <t>STAP-MEC-250</t>
  </si>
  <si>
    <t>STAP-MEC-251</t>
  </si>
  <si>
    <t>STAP-MEC-252</t>
  </si>
  <si>
    <t>STAP-MEC-253</t>
  </si>
  <si>
    <t>STAP-MEC-254</t>
  </si>
  <si>
    <t>STAP-MEC-255</t>
  </si>
  <si>
    <t>STAP-MEC-256</t>
  </si>
  <si>
    <t>STAP-MEC-257</t>
  </si>
  <si>
    <t>STAP-MEC-258</t>
  </si>
  <si>
    <t>STAP-MEC-259</t>
  </si>
  <si>
    <t>STAP-MEC-260</t>
  </si>
  <si>
    <t>STAP-MEC-261</t>
  </si>
  <si>
    <t>STAP-MEC-262</t>
  </si>
  <si>
    <t>STAP-MEC-263</t>
  </si>
  <si>
    <t>STAP-MEC-264</t>
  </si>
  <si>
    <t>STAP-MEC-265</t>
  </si>
  <si>
    <t>STAP-MEC-266</t>
  </si>
  <si>
    <t>STAP-MEC-267</t>
  </si>
  <si>
    <t>STAP-INS-001</t>
  </si>
  <si>
    <t>STAP-INS-002</t>
  </si>
  <si>
    <t>STAP-INS-003</t>
  </si>
  <si>
    <t>STAP-INS-004</t>
  </si>
  <si>
    <t>STAP-INS-005</t>
  </si>
  <si>
    <t>STAP-INS-006</t>
  </si>
  <si>
    <t>STAP-INS-007</t>
  </si>
  <si>
    <t>STAP-INS-008</t>
  </si>
  <si>
    <t>STAP-INS-009</t>
  </si>
  <si>
    <t>ml</t>
  </si>
  <si>
    <t>STAP-INS-010</t>
  </si>
  <si>
    <t>STAP-INS-011</t>
  </si>
  <si>
    <t>STAP-INS-012</t>
  </si>
  <si>
    <t>STAP-INS-013</t>
  </si>
  <si>
    <t>STAP-INS-014</t>
  </si>
  <si>
    <t>STAP-INS-015</t>
  </si>
  <si>
    <t>STAP-INS-016</t>
  </si>
  <si>
    <t>STAP-INS-017</t>
  </si>
  <si>
    <t>STAP-INS-018</t>
  </si>
  <si>
    <t>STAP-INS-019</t>
  </si>
  <si>
    <t>STAP-INS-020</t>
  </si>
  <si>
    <t>STAP-INS-021</t>
  </si>
  <si>
    <t>STAP-INS-022</t>
  </si>
  <si>
    <t>STAP-INS-023</t>
  </si>
  <si>
    <t>STAP-INS-024</t>
  </si>
  <si>
    <t>STAP-INS-025</t>
  </si>
  <si>
    <t>STAP-INS-026</t>
  </si>
  <si>
    <t>STAP-INS-027</t>
  </si>
  <si>
    <t>STAP-INS-028</t>
  </si>
  <si>
    <t>STAP-INS-029</t>
  </si>
  <si>
    <t>STAP-INS-030</t>
  </si>
  <si>
    <t>STAP-INS-031</t>
  </si>
  <si>
    <t>STAP-INS-032</t>
  </si>
  <si>
    <t>STAP-INS-033</t>
  </si>
  <si>
    <t>STAP-INS-034</t>
  </si>
  <si>
    <t>STAP-INS-035</t>
  </si>
  <si>
    <t>STAP-INS-036</t>
  </si>
  <si>
    <t>STAP-INS-037</t>
  </si>
  <si>
    <t>STAP-INS-038</t>
  </si>
  <si>
    <t>STAP-INS-039</t>
  </si>
  <si>
    <t>STAP-INS-040</t>
  </si>
  <si>
    <t>STAP-INS-041</t>
  </si>
  <si>
    <t>STAP-INS-042</t>
  </si>
  <si>
    <t>STAP-INS-043</t>
  </si>
  <si>
    <t>STAP-INS-044</t>
  </si>
  <si>
    <t>STAP-INS-045</t>
  </si>
  <si>
    <t>STAP-INS-046</t>
  </si>
  <si>
    <t>STAP-INS-047</t>
  </si>
  <si>
    <t>STAP-INS-048</t>
  </si>
  <si>
    <t>STAP-INS-049</t>
  </si>
  <si>
    <t>STAP-INS-050</t>
  </si>
  <si>
    <t>STAP-INS-051</t>
  </si>
  <si>
    <t>STAP-INS-052</t>
  </si>
  <si>
    <t>STAP-INS-053</t>
  </si>
  <si>
    <t>STAP-INS-054</t>
  </si>
  <si>
    <t>STAP-INS-055</t>
  </si>
  <si>
    <t>STAP-INS-056</t>
  </si>
  <si>
    <t>STAP-INS-057</t>
  </si>
  <si>
    <t>STAP-INS-058</t>
  </si>
  <si>
    <t>STAP-INS-059</t>
  </si>
  <si>
    <t>STAP-INS-060</t>
  </si>
  <si>
    <t>STAP-INS-061</t>
  </si>
  <si>
    <t>STAP-INS-062</t>
  </si>
  <si>
    <t>STAP-INS-063</t>
  </si>
  <si>
    <t>STAP-INS-064</t>
  </si>
  <si>
    <t>STAP-INS-065</t>
  </si>
  <si>
    <t>STAP-INS-066</t>
  </si>
  <si>
    <t>STAP-INS-067</t>
  </si>
  <si>
    <t>STAP-INS-068</t>
  </si>
  <si>
    <t>STAP-INS-069</t>
  </si>
  <si>
    <t>STAP-INS-070</t>
  </si>
  <si>
    <t>STAP-INS-071</t>
  </si>
  <si>
    <t>STAP-INS-072</t>
  </si>
  <si>
    <t>STAP-INS-073</t>
  </si>
  <si>
    <t>STAP-INS-074</t>
  </si>
  <si>
    <t>STAP-INS-075</t>
  </si>
  <si>
    <t>STAP-INS-076</t>
  </si>
  <si>
    <t>STAP-INS-077</t>
  </si>
  <si>
    <t>STAP-INS-078</t>
  </si>
  <si>
    <t>STAP-INS-079</t>
  </si>
  <si>
    <t>STAP-INS-080</t>
  </si>
  <si>
    <t>STAP-INS-081</t>
  </si>
  <si>
    <t>STAP-INS-082</t>
  </si>
  <si>
    <t>STAP-INS-083</t>
  </si>
  <si>
    <t>STAP-INS-084</t>
  </si>
  <si>
    <t>STAP-INS-085</t>
  </si>
  <si>
    <t>STAP-INS-086</t>
  </si>
  <si>
    <t>STAP-INS-087</t>
  </si>
  <si>
    <t>STAP-INS-088</t>
  </si>
  <si>
    <t>STAP-INS-089</t>
  </si>
  <si>
    <t>STAP-INS-090</t>
  </si>
  <si>
    <t>STAP-INS-091</t>
  </si>
  <si>
    <t>STAP-INS-092</t>
  </si>
  <si>
    <t>STAP-INS-093</t>
  </si>
  <si>
    <t>STAP-INS-094</t>
  </si>
  <si>
    <t>STAP-INS-095</t>
  </si>
  <si>
    <t>STAP-INS-096</t>
  </si>
  <si>
    <t>STAP-INS-097</t>
  </si>
  <si>
    <t>STAP-INS-098</t>
  </si>
  <si>
    <t>STAP-INS-099</t>
  </si>
  <si>
    <t>STAP-INS-100</t>
  </si>
  <si>
    <t>STAP-INS-101</t>
  </si>
  <si>
    <t>STAP-INS-102</t>
  </si>
  <si>
    <t>STAP-INS-103</t>
  </si>
  <si>
    <t>STAP-INS-104</t>
  </si>
  <si>
    <t>STAP-INS-105</t>
  </si>
  <si>
    <t>STAP-INS-106</t>
  </si>
  <si>
    <t>STAP-INS-107</t>
  </si>
  <si>
    <t>STAP-INS-108</t>
  </si>
  <si>
    <t>STAP-INS-109</t>
  </si>
  <si>
    <t>STAP-INS-110</t>
  </si>
  <si>
    <t>STAP-INS-111</t>
  </si>
  <si>
    <t>STAP-INS-112</t>
  </si>
  <si>
    <t>STAP-INS-113</t>
  </si>
  <si>
    <t>STAP-INS-114</t>
  </si>
  <si>
    <t>STAP-ELE-001</t>
  </si>
  <si>
    <t>STAP-ELE-002</t>
  </si>
  <si>
    <t>STAP-ELE-003</t>
  </si>
  <si>
    <t>STAP-ELE-004</t>
  </si>
  <si>
    <t>STAP-ELE-005</t>
  </si>
  <si>
    <t>STAP-ELE-006</t>
  </si>
  <si>
    <t>STAP-ELE-007</t>
  </si>
  <si>
    <t>STAP-ELE-008</t>
  </si>
  <si>
    <t>STAP-ELE-009</t>
  </si>
  <si>
    <t>STAP-ELE-010</t>
  </si>
  <si>
    <t>STAP-ELE-011</t>
  </si>
  <si>
    <t>STAP-ELE-012</t>
  </si>
  <si>
    <t>STAP-ELE-013</t>
  </si>
  <si>
    <t>STAP-ELE-014</t>
  </si>
  <si>
    <t>STAP-ELE-015</t>
  </si>
  <si>
    <t>STAP-ELE-016</t>
  </si>
  <si>
    <t>STAP-ELE-017</t>
  </si>
  <si>
    <t>STAP-ELE-018</t>
  </si>
  <si>
    <t>STAP-ELE-019</t>
  </si>
  <si>
    <t>STAP-ELE-021</t>
  </si>
  <si>
    <t>STAP-ELE-022</t>
  </si>
  <si>
    <t>STAP-ELE-023</t>
  </si>
  <si>
    <t>STAP-ELE-024</t>
  </si>
  <si>
    <t>STAP-ELE-025</t>
  </si>
  <si>
    <t>STAP-ELE-026</t>
  </si>
  <si>
    <t>STAP-ELE-027</t>
  </si>
  <si>
    <t>STAP-ELE-028</t>
  </si>
  <si>
    <t>STAP-ELE-029</t>
  </si>
  <si>
    <t>STAP-ELE-030</t>
  </si>
  <si>
    <t>STAP-ELE-031</t>
  </si>
  <si>
    <t>STAP-ELE-032</t>
  </si>
  <si>
    <t>STAP-ELE-033</t>
  </si>
  <si>
    <t>STAP-ELE-034</t>
  </si>
  <si>
    <t>STAP-ELE-035</t>
  </si>
  <si>
    <t>STAP-ELE-036</t>
  </si>
  <si>
    <t>STAP-ELE-037</t>
  </si>
  <si>
    <t>STAP-ELE-038</t>
  </si>
  <si>
    <t>STAP-ELE-039</t>
  </si>
  <si>
    <t>STAP-ELE-040</t>
  </si>
  <si>
    <t>STAP-ELE-041</t>
  </si>
  <si>
    <t>STAP-ELE-042</t>
  </si>
  <si>
    <t>STAP-ELE-043</t>
  </si>
  <si>
    <t>STAP-ELE-044</t>
  </si>
  <si>
    <t>STAP-ELE-045</t>
  </si>
  <si>
    <t>STAP-ELE-046</t>
  </si>
  <si>
    <t>STAP-ELE-047</t>
  </si>
  <si>
    <t>STAP-ELE-048</t>
  </si>
  <si>
    <t>STAP-ELE-049</t>
  </si>
  <si>
    <t>STAP-ELE-050</t>
  </si>
  <si>
    <t>STAP-ELE-051</t>
  </si>
  <si>
    <t>STAP-ELE-052</t>
  </si>
  <si>
    <t>STAP-ELE-053</t>
  </si>
  <si>
    <t>STAP-ELE-054</t>
  </si>
  <si>
    <t>STAP-ELE-055</t>
  </si>
  <si>
    <t>STAP-ELE-056</t>
  </si>
  <si>
    <t>STAP-ELE-057</t>
  </si>
  <si>
    <t>STAP-ELE-058</t>
  </si>
  <si>
    <t>STAP-ELE-059</t>
  </si>
  <si>
    <t>STAP-ELE-060</t>
  </si>
  <si>
    <t>STAP-ELE-061</t>
  </si>
  <si>
    <t>STAP-ELE-062</t>
  </si>
  <si>
    <t>STAP-ELE-063</t>
  </si>
  <si>
    <t>STAP-ELE-064</t>
  </si>
  <si>
    <t>STAP-ELE-065</t>
  </si>
  <si>
    <t>STAP-ELE-066</t>
  </si>
  <si>
    <t>STAP-ELE-067</t>
  </si>
  <si>
    <t>STAP-ELE-068</t>
  </si>
  <si>
    <t>STAP-ELE-069</t>
  </si>
  <si>
    <t>STAP-ELE-070</t>
  </si>
  <si>
    <t>STAP-ELE-071</t>
  </si>
  <si>
    <t>STAP-ELE-072</t>
  </si>
  <si>
    <t>STAP-ELE-073</t>
  </si>
  <si>
    <t>STAP-ELE-074</t>
  </si>
  <si>
    <t>STAP-ELE-075</t>
  </si>
  <si>
    <t>STAP-ELE-076</t>
  </si>
  <si>
    <t>STAP-ELE-077</t>
  </si>
  <si>
    <t>STAP-ELE-078</t>
  </si>
  <si>
    <t>STAP-ELE-079</t>
  </si>
  <si>
    <t>STAP-ELE-080</t>
  </si>
  <si>
    <t>STAP-ELE-081</t>
  </si>
  <si>
    <t>STAP-ELE-082</t>
  </si>
  <si>
    <t>STAP-ELE-083</t>
  </si>
  <si>
    <t>STAP-ELE-084</t>
  </si>
  <si>
    <t>STAP-ELE-085</t>
  </si>
  <si>
    <t>STAP-ELE-086</t>
  </si>
  <si>
    <t>STAP-ELE-087</t>
  </si>
  <si>
    <t>STAP-ELE-088</t>
  </si>
  <si>
    <t>STAP-ELE-089</t>
  </si>
  <si>
    <t>STAP-ELE-090</t>
  </si>
  <si>
    <t>STAP-ELE-091</t>
  </si>
  <si>
    <t>STAP-ELE-092</t>
  </si>
  <si>
    <t>STAP-ELE-093</t>
  </si>
  <si>
    <t>STAP-ELE-094</t>
  </si>
  <si>
    <t>STAP-ELE-095</t>
  </si>
  <si>
    <t>STAP-ELE-096</t>
  </si>
  <si>
    <t>STAP-ELE-097</t>
  </si>
  <si>
    <t>STAP-ELE-098</t>
  </si>
  <si>
    <t>STAP-ELE-099</t>
  </si>
  <si>
    <t>STAP-ELE-100</t>
  </si>
  <si>
    <t>STAP-ELE-101</t>
  </si>
  <si>
    <t>STAP-ELE-102</t>
  </si>
  <si>
    <t>STAP-ELE-103</t>
  </si>
  <si>
    <t>STAP-ELE-104</t>
  </si>
  <si>
    <t>STAP-ELE-105</t>
  </si>
  <si>
    <t>STAP-ELE-106</t>
  </si>
  <si>
    <t>STAP-ELE-107</t>
  </si>
  <si>
    <t>STAP-ELE-108</t>
  </si>
  <si>
    <t>STAP-ELE-109</t>
  </si>
  <si>
    <t>STAP-ELE-110</t>
  </si>
  <si>
    <t>STAP-ELE-111</t>
  </si>
  <si>
    <t>STAP-ELE-112</t>
  </si>
  <si>
    <t>STAP-ELE-113</t>
  </si>
  <si>
    <t>STAP-ELE-114</t>
  </si>
  <si>
    <t>STAP-ROT-001</t>
  </si>
  <si>
    <t>STAP-ROT-002</t>
  </si>
  <si>
    <t>STAP-ROT-003</t>
  </si>
  <si>
    <t>STAP-ROT-004</t>
  </si>
  <si>
    <t>STAP-ROT-005</t>
  </si>
  <si>
    <t>STAP-ROT-006</t>
  </si>
  <si>
    <t>STAP-ROT-007</t>
  </si>
  <si>
    <t>STAP-ROT-008</t>
  </si>
  <si>
    <t>STAP-ROT-009</t>
  </si>
  <si>
    <t>STAP-ROT-010</t>
  </si>
  <si>
    <t>STAP-ROT-011</t>
  </si>
  <si>
    <t>STAP-ROT-012</t>
  </si>
  <si>
    <t>STAP-ROT-013</t>
  </si>
  <si>
    <t>STAP-ROT-014</t>
  </si>
  <si>
    <t>STAP-ROT-015</t>
  </si>
  <si>
    <t>STAP-ROT-016</t>
  </si>
  <si>
    <t>STAP-ROT-017</t>
  </si>
  <si>
    <t>STAP-ROT-018</t>
  </si>
  <si>
    <t>STAP-ROT-019</t>
  </si>
  <si>
    <t>STAP-ROT-020</t>
  </si>
  <si>
    <t>STAP-ROT-021</t>
  </si>
  <si>
    <t>STAP-ROT-022</t>
  </si>
  <si>
    <t>STAP-ROT-023</t>
  </si>
  <si>
    <t>STAP-ROT-024</t>
  </si>
  <si>
    <t>STAP-ROT-025</t>
  </si>
  <si>
    <t>STAP-ROT-026</t>
  </si>
  <si>
    <t>STAP-ROT-027</t>
  </si>
  <si>
    <t>STAP-ROT-028</t>
  </si>
  <si>
    <t>STAP-ROT-029</t>
  </si>
  <si>
    <t>STAP-ROT-030</t>
  </si>
  <si>
    <t>STAP-ROT-031</t>
  </si>
  <si>
    <t>STAP-ROT-032</t>
  </si>
  <si>
    <t>STAP-ROT-033</t>
  </si>
  <si>
    <t>STAP-ROT-034</t>
  </si>
  <si>
    <t>STAP-ROT-035</t>
  </si>
  <si>
    <t>STAP-ROT-036</t>
  </si>
  <si>
    <t>STAP-ROT-037</t>
  </si>
  <si>
    <t>STAP-ROT-038</t>
  </si>
  <si>
    <t>STAP-ROT-039</t>
  </si>
  <si>
    <t>STAP-ROT-040</t>
  </si>
  <si>
    <t>STAP-ROT-041</t>
  </si>
  <si>
    <t>STAP-ROT-042</t>
  </si>
  <si>
    <t>STAP-ROT-043</t>
  </si>
  <si>
    <t>STAP-ROT-044</t>
  </si>
  <si>
    <t>STAP-ROT-045</t>
  </si>
  <si>
    <t>STAP-ROT-046</t>
  </si>
  <si>
    <t>STAP-ROT-047</t>
  </si>
  <si>
    <t>STAP-ROT-048</t>
  </si>
  <si>
    <t>STAP-ROT-049</t>
  </si>
  <si>
    <t>STAP-ROT-050</t>
  </si>
  <si>
    <t>STAP-ROT-051</t>
  </si>
  <si>
    <t>STAP-ROT-052</t>
  </si>
  <si>
    <t>STAP-ROT-053</t>
  </si>
  <si>
    <t>STAP-ROT-054</t>
  </si>
  <si>
    <t>STAP-ROT-055</t>
  </si>
  <si>
    <t>STAP-ROT-056</t>
  </si>
  <si>
    <t>STAP-ROT-057</t>
  </si>
  <si>
    <t>STAP-ROT-058</t>
  </si>
  <si>
    <t>STAP-ROT-059</t>
  </si>
  <si>
    <t>STAP-ROT-060</t>
  </si>
  <si>
    <t>STAP-ROT-061</t>
  </si>
  <si>
    <t>STAP-ROT-062</t>
  </si>
  <si>
    <t>STAP-ROT-063</t>
  </si>
  <si>
    <t>STAP-ROT-064</t>
  </si>
  <si>
    <t>STAP-ROT-065</t>
  </si>
  <si>
    <t>STAP-ROT-066</t>
  </si>
  <si>
    <t>STAP-ROT-067</t>
  </si>
  <si>
    <t>STAP-ROT-068</t>
  </si>
  <si>
    <t>STAP-ROT-069</t>
  </si>
  <si>
    <t>STAP-ROT-070</t>
  </si>
  <si>
    <t>STAP-ROT-071</t>
  </si>
  <si>
    <t>STAP-ROT-072</t>
  </si>
  <si>
    <t>STAP-ROT-073</t>
  </si>
  <si>
    <t>STAP-ROT-074</t>
  </si>
  <si>
    <t>STAP-ROT-075</t>
  </si>
  <si>
    <t>STAP-ROT-076</t>
  </si>
  <si>
    <t>APU / Presupuesto de obra — Disciplina: Civil</t>
  </si>
  <si>
    <t>STAP (caso hipotético). Vr. total = Cant. planificada × Vr. unitario.</t>
  </si>
  <si>
    <t>Ítem</t>
  </si>
  <si>
    <t>Descripción</t>
  </si>
  <si>
    <t>Unidad</t>
  </si>
  <si>
    <t>Cant. planificada</t>
  </si>
  <si>
    <t>Cant. ejecutada</t>
  </si>
  <si>
    <t>Vr. unitario (USD)</t>
  </si>
  <si>
    <t>Vr. total (USD)</t>
  </si>
  <si>
    <t>% avance plan.</t>
  </si>
  <si>
    <t>Costo real (USD)</t>
  </si>
  <si>
    <t>Formaleta y encofrado — Área 100 (Recepción)</t>
  </si>
  <si>
    <t>Relleno y compactación — Área 300 (Tratamiento)</t>
  </si>
  <si>
    <t>Drenajes y obras hidráulicas — Área 200 (Separación)</t>
  </si>
  <si>
    <t>Movimiento de tierras - excavación — Área 100 (Recepción)</t>
  </si>
  <si>
    <t>Concreto para pedestales de equipos — Área 100 (Recepción)</t>
  </si>
  <si>
    <t>Drenajes y obras hidráulicas — Área 600 (Servicios)</t>
  </si>
  <si>
    <t>Drenajes y obras hidráulicas — Área 400 (Bombeo)</t>
  </si>
  <si>
    <t>Movimiento de tierras - excavación — Área 200 (Separación)</t>
  </si>
  <si>
    <t>Acero de refuerzo — Área 100 (Recepción)</t>
  </si>
  <si>
    <t>Concreto para cimentación — Área 600 (Servicios)</t>
  </si>
  <si>
    <t>Concreto para pedestales de equipos — Área 600 (Servicios)</t>
  </si>
  <si>
    <t>Relleno y compactación — Área 200 (Separación)</t>
  </si>
  <si>
    <t>Pavimento rígido y vías internas — Área 300 (Tratamiento)</t>
  </si>
  <si>
    <t>Acero de refuerzo — Área 600 (Servicios)</t>
  </si>
  <si>
    <t>Concreto para pedestales de equipos — Área 500 (Inyección)</t>
  </si>
  <si>
    <t>Concreto para cimentación — Área 400 (Bombeo)</t>
  </si>
  <si>
    <t>Estructura metálica de soporte — Área 100 (Recepción)</t>
  </si>
  <si>
    <t>Diques y muros de contención — Área 300 (Tratamiento)</t>
  </si>
  <si>
    <t>Formaleta y encofrado — Área 500 (Inyección)</t>
  </si>
  <si>
    <t>Pavimento rígido y vías internas — Área 100 (Recepción)</t>
  </si>
  <si>
    <t>Pavimento rígido y vías internas — Área 600 (Servicios)</t>
  </si>
  <si>
    <t>Formaleta y encofrado — Área 300 (Tratamiento)</t>
  </si>
  <si>
    <t>Concreto para cimentación — Área 100 (Recepción)</t>
  </si>
  <si>
    <t>Concreto para pedestales de equipos — Área 200 (Separación)</t>
  </si>
  <si>
    <t>Estructura metálica de soporte — Área 400 (Bombeo)</t>
  </si>
  <si>
    <t>Relleno y compactación — Área 500 (Inyección)</t>
  </si>
  <si>
    <t>Acero de refuerzo — Área 500 (Inyección)</t>
  </si>
  <si>
    <t>Acero de refuerzo — Área 300 (Tratamiento)</t>
  </si>
  <si>
    <t>Estructura metálica de soporte — Área 200 (Separación)</t>
  </si>
  <si>
    <t>Movimiento de tierras - excavación — Área 300 (Tratamiento)</t>
  </si>
  <si>
    <t>Diques y muros de contención — Área 600 (Servicios)</t>
  </si>
  <si>
    <t>Movimiento de tierras - excavación — Área 600 (Servicios)</t>
  </si>
  <si>
    <t>Diques y muros de contención — Área 400 (Bombeo)</t>
  </si>
  <si>
    <t>Relleno y compactación — Área 100 (Recepción)</t>
  </si>
  <si>
    <t>Concreto para pedestales de equipos — Área 400 (Bombeo)</t>
  </si>
  <si>
    <t>Acero de refuerzo — Área 400 (Bombeo)</t>
  </si>
  <si>
    <t>Relleno y compactación — Área 400 (Bombeo)</t>
  </si>
  <si>
    <t>Pavimento rígido y vías internas — Área 200 (Separación)</t>
  </si>
  <si>
    <t>Pavimento rígido y vías internas — Área 500 (Inyección)</t>
  </si>
  <si>
    <t>Movimiento de tierras - excavación — Área 500 (Inyección)</t>
  </si>
  <si>
    <t>Diques y muros de contención — Área 100 (Recepción)</t>
  </si>
  <si>
    <t>Acero de refuerzo — Área 200 (Separación)</t>
  </si>
  <si>
    <t>Formaleta y encofrado — Área 200 (Separación)</t>
  </si>
  <si>
    <t>Movimiento de tierras - excavación — Área 400 (Bombeo)</t>
  </si>
  <si>
    <t>Pavimento rígido y vías internas — Área 400 (Bombeo)</t>
  </si>
  <si>
    <t>Estructura metálica de soporte — Área 600 (Servicios)</t>
  </si>
  <si>
    <t>Concreto para cimentación — Área 200 (Separación)</t>
  </si>
  <si>
    <t>Relleno y compactación — Área 600 (Servicios)</t>
  </si>
  <si>
    <t>Drenajes y obras hidráulicas — Área 300 (Tratamiento)</t>
  </si>
  <si>
    <t>Diques y muros de contención — Área 200 (Separación)</t>
  </si>
  <si>
    <t>Estructura metálica de soporte — Área 300 (Tratamiento)</t>
  </si>
  <si>
    <t>Concreto para cimentación — Área 300 (Tratamiento)</t>
  </si>
  <si>
    <t>Formaleta y encofrado — Área 400 (Bombeo)</t>
  </si>
  <si>
    <t>Drenajes y obras hidráulicas — Área 100 (Recepción)</t>
  </si>
  <si>
    <t>Formaleta y encofrado — Área 600 (Servicios)</t>
  </si>
  <si>
    <t>Concreto para pedestales de equipos — Área 300 (Tratamiento)</t>
  </si>
  <si>
    <t>Estructura metálica de soporte — Área 500 (Inyección)</t>
  </si>
  <si>
    <t>Diques y muros de contención — Área 500 (Inyección)</t>
  </si>
  <si>
    <t>Drenajes y obras hidráulicas — Área 500 (Inyección)</t>
  </si>
  <si>
    <t>SUBTOTAL DISCIPLINA</t>
  </si>
  <si>
    <t>APU / Presupuesto de obra — Disciplina: Mecánica estática</t>
  </si>
  <si>
    <t>Montaje de recipiente/separador API-CPI — Área 200 (Separación)</t>
  </si>
  <si>
    <t>Montaje de válvulas de proceso — Área 200 (Separación)</t>
  </si>
  <si>
    <t>Soldadura de tubería de proceso — Área 600 (Servicios)</t>
  </si>
  <si>
    <t>Soldadura de tubería de proceso — Área 500 (Inyección)</t>
  </si>
  <si>
    <t>Aislamiento térmico de tubería — Área 300 (Tratamiento)</t>
  </si>
  <si>
    <t>Prueba hidrostática de líneas — Área 400 (Bombeo)</t>
  </si>
  <si>
    <t>Prueba hidrostática de líneas — Área 500 (Inyección)</t>
  </si>
  <si>
    <t>Aislamiento térmico de tubería — Área 500 (Inyección)</t>
  </si>
  <si>
    <t>Aislamiento térmico de tubería — Área 400 (Bombeo)</t>
  </si>
  <si>
    <t>Montaje de tanque de almacenamiento API 650 — Área 400 (Bombeo)</t>
  </si>
  <si>
    <t>Tendido de tubería enterrada — Área 500 (Inyección)</t>
  </si>
  <si>
    <t>Soldadura de tubería de proceso — Área 100 (Recepción)</t>
  </si>
  <si>
    <t>Prueba hidrostática de líneas — Área 200 (Separación)</t>
  </si>
  <si>
    <t>Accesorios y soportería de tubería — Área 600 (Servicios)</t>
  </si>
  <si>
    <t>Montaje de válvulas de proceso — Área 500 (Inyección)</t>
  </si>
  <si>
    <t>Accesorios y soportería de tubería — Área 500 (Inyección)</t>
  </si>
  <si>
    <t>Montaje de recipiente/separador API-CPI — Área 300 (Tratamiento)</t>
  </si>
  <si>
    <t>Tendido de tubería enterrada — Área 300 (Tratamiento)</t>
  </si>
  <si>
    <t>Montaje de tanque de almacenamiento API 650 — Área 300 (Tratamiento)</t>
  </si>
  <si>
    <t>Aislamiento térmico de tubería — Área 600 (Servicios)</t>
  </si>
  <si>
    <t>Montaje de tanque de almacenamiento API 650 — Área 600 (Servicios)</t>
  </si>
  <si>
    <t>Prueba hidrostática de líneas — Área 300 (Tratamiento)</t>
  </si>
  <si>
    <t>Montaje de recipiente/separador API-CPI — Área 100 (Recepción)</t>
  </si>
  <si>
    <t>Soldadura de tubería de proceso — Área 300 (Tratamiento)</t>
  </si>
  <si>
    <t>Tendido de tubería enterrada — Área 200 (Separación)</t>
  </si>
  <si>
    <t>Montaje de recipiente/separador API-CPI — Área 400 (Bombeo)</t>
  </si>
  <si>
    <t>Prueba hidrostática de líneas — Área 100 (Recepción)</t>
  </si>
  <si>
    <t>Montaje de recipiente/separador API-CPI — Área 600 (Servicios)</t>
  </si>
  <si>
    <t>Tendido de tubería enterrada — Área 400 (Bombeo)</t>
  </si>
  <si>
    <t>Aislamiento térmico de tubería — Área 100 (Recepción)</t>
  </si>
  <si>
    <t>Soldadura de tubería de proceso — Área 400 (Bombeo)</t>
  </si>
  <si>
    <t>Soldadura de tubería de proceso — Área 200 (Separación)</t>
  </si>
  <si>
    <t>Montaje de recipiente/separador API-CPI — Área 500 (Inyección)</t>
  </si>
  <si>
    <t>Prueba hidrostática de líneas — Área 600 (Servicios)</t>
  </si>
  <si>
    <t>Accesorios y soportería de tubería — Área 100 (Recepción)</t>
  </si>
  <si>
    <t>Montaje de válvulas de proceso — Área 100 (Recepción)</t>
  </si>
  <si>
    <t>Montaje de válvulas de proceso — Área 300 (Tratamiento)</t>
  </si>
  <si>
    <t>Montaje de tanque de almacenamiento API 650 — Área 200 (Separación)</t>
  </si>
  <si>
    <t>Montaje de válvulas de proceso — Área 600 (Servicios)</t>
  </si>
  <si>
    <t>Accesorios y soportería de tubería — Área 300 (Tratamiento)</t>
  </si>
  <si>
    <t>Montaje de tanque de almacenamiento API 650 — Área 100 (Recepción)</t>
  </si>
  <si>
    <t>Tendido de tubería enterrada — Área 600 (Servicios)</t>
  </si>
  <si>
    <t>Aislamiento térmico de tubería — Área 200 (Separación)</t>
  </si>
  <si>
    <t>Accesorios y soportería de tubería — Área 400 (Bombeo)</t>
  </si>
  <si>
    <t>Accesorios y soportería de tubería — Área 200 (Separación)</t>
  </si>
  <si>
    <t>Montaje de válvulas de proceso — Área 400 (Bombeo)</t>
  </si>
  <si>
    <t>Tendido de tubería enterrada — Área 100 (Recepción)</t>
  </si>
  <si>
    <t>Montaje de tanque de almacenamiento API 650 — Área 500 (Inyección)</t>
  </si>
  <si>
    <t>APU / Presupuesto de obra — Disciplina: Rotativa</t>
  </si>
  <si>
    <t>Montaje de motor eléctrico asociado — Área 600 (Servicios)</t>
  </si>
  <si>
    <t>Montaje de bomba centrífuga de transferencia — Área 300 (Tratamiento)</t>
  </si>
  <si>
    <t>Montaje de motor eléctrico asociado — Área 500 (Inyección)</t>
  </si>
  <si>
    <t>Montaje de compresor — Área 300 (Tratamiento)</t>
  </si>
  <si>
    <t>Montaje de compresor — Área 600 (Servicios)</t>
  </si>
  <si>
    <t>Montaje de bomba centrífuga de transferencia — Área 600 (Servicios)</t>
  </si>
  <si>
    <t>Montaje de bomba centrífuga de transferencia — Área 500 (Inyección)</t>
  </si>
  <si>
    <t>Montaje de bomba de inyección — Área 400 (Bombeo)</t>
  </si>
  <si>
    <t>Montaje de bomba centrífuga de transferencia — Área 100 (Recepción)</t>
  </si>
  <si>
    <t>Montaje de compresor — Área 500 (Inyección)</t>
  </si>
  <si>
    <t>Pruebas y puesta en marcha de rotativos — Área 200 (Separación)</t>
  </si>
  <si>
    <t>Montaje de motor eléctrico asociado — Área 200 (Separación)</t>
  </si>
  <si>
    <t>Montaje de compresor — Área 400 (Bombeo)</t>
  </si>
  <si>
    <t>Alineación láser de equipo rotativo — Área 500 (Inyección)</t>
  </si>
  <si>
    <t>Montaje de compresor — Área 100 (Recepción)</t>
  </si>
  <si>
    <t>Montaje de bomba de inyección — Área 200 (Separación)</t>
  </si>
  <si>
    <t>Montaje de motor eléctrico asociado — Área 400 (Bombeo)</t>
  </si>
  <si>
    <t>Alineación láser de equipo rotativo — Área 300 (Tratamiento)</t>
  </si>
  <si>
    <t>Alineación láser de equipo rotativo — Área 400 (Bombeo)</t>
  </si>
  <si>
    <t>Alineación láser de equipo rotativo — Área 600 (Servicios)</t>
  </si>
  <si>
    <t>Montaje de bomba de inyección — Área 300 (Tratamiento)</t>
  </si>
  <si>
    <t>Pruebas y puesta en marcha de rotativos — Área 600 (Servicios)</t>
  </si>
  <si>
    <t>Montaje de motor eléctrico asociado — Área 100 (Recepción)</t>
  </si>
  <si>
    <t>Montaje de bomba centrífuga de transferencia — Área 200 (Separación)</t>
  </si>
  <si>
    <t>Montaje de motor eléctrico asociado — Área 300 (Tratamiento)</t>
  </si>
  <si>
    <t>Pruebas y puesta en marcha de rotativos — Área 100 (Recepción)</t>
  </si>
  <si>
    <t>Montaje de compresor — Área 200 (Separación)</t>
  </si>
  <si>
    <t>Alineación láser de equipo rotativo — Área 100 (Recepción)</t>
  </si>
  <si>
    <t>Montaje de bomba centrífuga de transferencia — Área 400 (Bombeo)</t>
  </si>
  <si>
    <t>Alineación láser de equipo rotativo — Área 200 (Separación)</t>
  </si>
  <si>
    <t>APU / Presupuesto de obra — Disciplina: Instrumentación</t>
  </si>
  <si>
    <t>Bandejas y canalización de señales — Área 500 (Inyección)</t>
  </si>
  <si>
    <t>Lazo de control - pruebas de lazo — Área 600 (Servicios)</t>
  </si>
  <si>
    <t>Instalación de instrumento de campo (Tx) — Área 200 (Separación)</t>
  </si>
  <si>
    <t>Válvula de control y actuador — Área 600 (Servicios)</t>
  </si>
  <si>
    <t>Sistema de parada de emergencia (ESD) — Área 300 (Tratamiento)</t>
  </si>
  <si>
    <t>Lazo de control - pruebas de lazo — Área 400 (Bombeo)</t>
  </si>
  <si>
    <t>Sistema de parada de emergencia (ESD) — Área 600 (Servicios)</t>
  </si>
  <si>
    <t>Bandejas y canalización de señales — Área 600 (Servicios)</t>
  </si>
  <si>
    <t>Cableado de instrumentación — Área 200 (Separación)</t>
  </si>
  <si>
    <t>Lazo de control - pruebas de lazo — Área 200 (Separación)</t>
  </si>
  <si>
    <t>Bandejas y canalización de señales — Área 200 (Separación)</t>
  </si>
  <si>
    <t>Instalación de instrumento de campo (Tx) — Área 400 (Bombeo)</t>
  </si>
  <si>
    <t>Cableado de instrumentación — Área 600 (Servicios)</t>
  </si>
  <si>
    <t>Sistema de parada de emergencia (ESD) — Área 100 (Recepción)</t>
  </si>
  <si>
    <t>Cableado de instrumentación — Área 300 (Tratamiento)</t>
  </si>
  <si>
    <t>Bandejas y canalización de señales — Área 400 (Bombeo)</t>
  </si>
  <si>
    <t>Cableado de instrumentación — Área 500 (Inyección)</t>
  </si>
  <si>
    <t>Válvula de control y actuador — Área 300 (Tratamiento)</t>
  </si>
  <si>
    <t>Sistema de parada de emergencia (ESD) — Área 400 (Bombeo)</t>
  </si>
  <si>
    <t>Sistema de parada de emergencia (ESD) — Área 200 (Separación)</t>
  </si>
  <si>
    <t>Sistema de parada de emergencia (ESD) — Área 500 (Inyección)</t>
  </si>
  <si>
    <t>Válvula de control y actuador — Área 100 (Recepción)</t>
  </si>
  <si>
    <t>Instalación de instrumento de campo (Tx) — Área 100 (Recepción)</t>
  </si>
  <si>
    <t>Bandejas y canalización de señales — Área 100 (Recepción)</t>
  </si>
  <si>
    <t>Válvula de control y actuador — Área 500 (Inyección)</t>
  </si>
  <si>
    <t>Lazo de control - pruebas de lazo — Área 100 (Recepción)</t>
  </si>
  <si>
    <t>Instalación de instrumento de campo (Tx) — Área 600 (Servicios)</t>
  </si>
  <si>
    <t>Válvula de control y actuador — Área 400 (Bombeo)</t>
  </si>
  <si>
    <t>Bandejas y canalización de señales — Área 300 (Tratamiento)</t>
  </si>
  <si>
    <t>Instalación de instrumento de campo (Tx) — Área 300 (Tratamiento)</t>
  </si>
  <si>
    <t>Lazo de control - pruebas de lazo — Área 300 (Tratamiento)</t>
  </si>
  <si>
    <t>Válvula de control y actuador — Área 200 (Separación)</t>
  </si>
  <si>
    <t>Cableado de instrumentación — Área 100 (Recepción)</t>
  </si>
  <si>
    <t>Lazo de control - pruebas de lazo — Área 500 (Inyección)</t>
  </si>
  <si>
    <t>Cableado de instrumentación — Área 400 (Bombeo)</t>
  </si>
  <si>
    <t>APU / Presupuesto de obra — Disciplina: Eléctrica</t>
  </si>
  <si>
    <t>Iluminación y tomas industriales — Área 100 (Recepción)</t>
  </si>
  <si>
    <t>Sistema de puesta a tierra — Área 600 (Servicios)</t>
  </si>
  <si>
    <t>Iluminación y tomas industriales — Área 500 (Inyección)</t>
  </si>
  <si>
    <t>Cableado de potencia — Área 300 (Tratamiento)</t>
  </si>
  <si>
    <t>Cableado de potencia — Área 400 (Bombeo)</t>
  </si>
  <si>
    <t>Cableado de control — Área 200 (Separación)</t>
  </si>
  <si>
    <t>Cableado de control — Área 600 (Servicios)</t>
  </si>
  <si>
    <t>Sistema de puesta a tierra — Área 500 (Inyección)</t>
  </si>
  <si>
    <t>Montaje de subestación / CCM — Área 100 (Recepción)</t>
  </si>
  <si>
    <t>Montaje de subestación / CCM — Área 200 (Separación)</t>
  </si>
  <si>
    <t>Iluminación y tomas industriales — Área 200 (Separación)</t>
  </si>
  <si>
    <t>Cableado de potencia — Área 100 (Recepción)</t>
  </si>
  <si>
    <t>Cableado de control — Área 500 (Inyección)</t>
  </si>
  <si>
    <t>Montaje de subestación / CCM — Área 600 (Servicios)</t>
  </si>
  <si>
    <t>Iluminación y tomas industriales — Área 300 (Tratamiento)</t>
  </si>
  <si>
    <t>Sistema de puesta a tierra — Área 200 (Separación)</t>
  </si>
  <si>
    <t>Montaje de tablero eléctrico — Área 200 (Separación)</t>
  </si>
  <si>
    <t>Bandeja portacables — Área 100 (Recepción)</t>
  </si>
  <si>
    <t>Montaje de tablero eléctrico — Área 600 (Servicios)</t>
  </si>
  <si>
    <t>Montaje de tablero eléctrico — Área 400 (Bombeo)</t>
  </si>
  <si>
    <t>Bandeja portacables — Área 500 (Inyección)</t>
  </si>
  <si>
    <t>Montaje de subestación / CCM — Área 300 (Tratamiento)</t>
  </si>
  <si>
    <t>Bandeja portacables — Área 300 (Tratamiento)</t>
  </si>
  <si>
    <t>Bandeja portacables — Área 200 (Separación)</t>
  </si>
  <si>
    <t>Montaje de subestación / CCM — Área 400 (Bombeo)</t>
  </si>
  <si>
    <t>Iluminación y tomas industriales — Área 400 (Bombeo)</t>
  </si>
  <si>
    <t>Sistema de puesta a tierra — Área 300 (Tratamiento)</t>
  </si>
  <si>
    <t>Cableado de potencia — Área 500 (Inyección)</t>
  </si>
  <si>
    <t>Cableado de control — Área 100 (Recepción)</t>
  </si>
  <si>
    <t>Sistema de puesta a tierra — Área 100 (Recepción)</t>
  </si>
  <si>
    <t>Cableado de control — Área 300 (Tratamiento)</t>
  </si>
  <si>
    <t>Bandeja portacables — Área 400 (Bombeo)</t>
  </si>
  <si>
    <t>Montaje de tablero eléctrico — Área 100 (Recepción)</t>
  </si>
  <si>
    <t>Montaje de tablero eléctrico — Área 500 (Inyección)</t>
  </si>
  <si>
    <t>Bandeja portacables — Área 600 (Servicios)</t>
  </si>
  <si>
    <t>Montaje de subestación / CCM — Área 500 (Inyección)</t>
  </si>
  <si>
    <t>Cableado de control — Área 400 (Bombeo)</t>
  </si>
  <si>
    <t>Cableado de potencia — Área 600 (Servicios)</t>
  </si>
  <si>
    <t>Iluminación y tomas industriales — Área 600 (Servicios)</t>
  </si>
  <si>
    <t>Montaje de tablero eléctrico — Área 300 (Tratamiento)</t>
  </si>
  <si>
    <t>Sistema de puesta a tierra — Área 400 (Bombeo)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</si>
</sst>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0.000"/>
    <numFmt numFmtId="167" formatCode="0.0000"/>
  </numFmts>
  <fonts count="6" x14ac:knownFonts="1">
    <font>
      <sz val="11"/>
      <color theme="1"/>
      <name val="Calibri"/>
      <family val="2"/>
      <charset val="1"/>
    </font>
    <font>
      <b/>
      <sz val="13"/>
      <color rgb="FF1F3864"/>
      <name val="Calibri"/>
      <family val="2"/>
    </font>
    <font>
      <i/>
      <sz val="8"/>
      <color rgb="FF59595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1"/>
      <color rgb="FF1F38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3" fillId="2" borderId="1" xfId="0" applyFont="1" applyFill="1" applyBorder="1" applyAlignment="1">
      <alignment horizontal="center" wrapText="1"/>
    </xf>
    <xf numFmtId="0" fontId="5" fillId="0" borderId="0" xfId="0" applyFont="1"/>
    <xf numFmtId="3" fontId="4" fillId="0" borderId="1" xfId="0" applyNumberFormat="1" applyFont="1" applyBorder="1"/>
    <xf numFmtId="164" fontId="4" fillId="0" borderId="1" xfId="0" applyNumberFormat="1" applyFont="1" applyBorder="1"/>
    <xf numFmtId="9" fontId="4" fillId="0" borderId="1" xfId="0" applyNumberFormat="1" applyFont="1" applyBorder="1"/>
    <xf numFmtId="166" fontId="4" fillId="0" borderId="1" xfId="0" applyNumberFormat="1" applyFont="1" applyBorder="1"/>
    <xf numFmtId="0" fontId="3" fillId="0" borderId="0" xfId="0" applyFont="1"/>
    <xf numFmtId="10" fontId="3" fillId="4" borderId="1" xfId="0" applyNumberFormat="1" applyFont="1" applyFill="1" applyBorder="1"/>
    <xf numFmtId="167" fontId="3" fillId="4" borderId="1" xfId="0" applyNumberFormat="1" applyFont="1" applyFill="1" applyBorder="1"/>
    <xf numFmtId="0" fontId="4" fillId="0" borderId="0" xfId="0" applyFont="1"/>
    <xf numFmtId="10" fontId="0" fillId="0" borderId="1" xfId="0" applyNumberFormat="1" applyBorder="1"/>
    <xf numFmtId="1" fontId="0" fillId="0" borderId="1" xfId="0" applyNumberFormat="1" applyBorder="1"/>
    <xf numFmtId="1" fontId="3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zoomScaleNormal="100" workbookViewId="0"/>
  </sheetViews>
  <sheetFormatPr baseColWidth="10" defaultColWidth="8.7109375" defaultRowHeight="15" x14ac:dyDescent="0.25"/>
  <cols>
    <col min="1" max="1" width="24" customWidth="1"/>
    <col min="2" max="4" width="18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>
        <v>191</v>
      </c>
      <c r="C5" s="5">
        <v>13880000</v>
      </c>
      <c r="D5" s="6">
        <f>C5/$C$10</f>
        <v>0.25</v>
      </c>
    </row>
    <row r="6" spans="1:4" x14ac:dyDescent="0.25">
      <c r="A6" s="4" t="s">
        <v>7</v>
      </c>
      <c r="B6" s="4">
        <v>267</v>
      </c>
      <c r="C6" s="5">
        <v>19432000</v>
      </c>
      <c r="D6" s="6">
        <f>C6/$C$10</f>
        <v>0.35</v>
      </c>
    </row>
    <row r="7" spans="1:4" x14ac:dyDescent="0.25">
      <c r="A7" s="4" t="s">
        <v>8</v>
      </c>
      <c r="B7" s="4">
        <v>76</v>
      </c>
      <c r="C7" s="5">
        <v>5552000</v>
      </c>
      <c r="D7" s="6">
        <f>C7/$C$10</f>
        <v>0.1</v>
      </c>
    </row>
    <row r="8" spans="1:4" x14ac:dyDescent="0.25">
      <c r="A8" s="4" t="s">
        <v>9</v>
      </c>
      <c r="B8" s="4">
        <v>114</v>
      </c>
      <c r="C8" s="5">
        <v>8328000</v>
      </c>
      <c r="D8" s="6">
        <f>C8/$C$10</f>
        <v>0.15</v>
      </c>
    </row>
    <row r="9" spans="1:4" x14ac:dyDescent="0.25">
      <c r="A9" s="4" t="s">
        <v>10</v>
      </c>
      <c r="B9" s="4">
        <v>114</v>
      </c>
      <c r="C9" s="5">
        <v>8328000</v>
      </c>
      <c r="D9" s="6">
        <f>C9/$C$10</f>
        <v>0.15</v>
      </c>
    </row>
    <row r="10" spans="1:4" x14ac:dyDescent="0.25">
      <c r="A10" s="7" t="s">
        <v>11</v>
      </c>
      <c r="B10" s="7">
        <f>SUM(B5:B9)</f>
        <v>762</v>
      </c>
      <c r="C10" s="8">
        <f>SUM(C5:C9)</f>
        <v>55520000</v>
      </c>
      <c r="D10" s="9">
        <f>SUM(D5:D9)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6"/>
  <sheetViews>
    <sheetView showGridLines="0" zoomScaleNormal="100" workbookViewId="0"/>
  </sheetViews>
  <sheetFormatPr baseColWidth="10" defaultColWidth="8.7109375" defaultRowHeight="15" x14ac:dyDescent="0.25"/>
  <cols>
    <col min="1" max="1" width="15" customWidth="1"/>
    <col min="2" max="2" width="52" customWidth="1"/>
    <col min="3" max="9" width="15" customWidth="1"/>
  </cols>
  <sheetData>
    <row r="1" spans="1:9" ht="17.25" x14ac:dyDescent="0.3">
      <c r="A1" s="1" t="s">
        <v>809</v>
      </c>
    </row>
    <row r="2" spans="1:9" x14ac:dyDescent="0.25">
      <c r="A2" s="2" t="s">
        <v>810</v>
      </c>
    </row>
    <row r="4" spans="1:9" x14ac:dyDescent="0.25">
      <c r="A4" s="23" t="s">
        <v>811</v>
      </c>
      <c r="B4" s="23" t="s">
        <v>812</v>
      </c>
      <c r="C4" s="23" t="s">
        <v>813</v>
      </c>
      <c r="D4" s="23" t="s">
        <v>814</v>
      </c>
      <c r="E4" s="23" t="s">
        <v>815</v>
      </c>
      <c r="F4" s="23" t="s">
        <v>816</v>
      </c>
      <c r="G4" s="23" t="s">
        <v>817</v>
      </c>
      <c r="H4" s="23" t="s">
        <v>818</v>
      </c>
      <c r="I4" s="23" t="s">
        <v>819</v>
      </c>
    </row>
    <row r="5" spans="1:9" x14ac:dyDescent="0.25">
      <c r="A5" s="4" t="s">
        <v>26</v>
      </c>
      <c r="B5" s="4" t="s">
        <v>820</v>
      </c>
      <c r="C5" s="4" t="s">
        <v>27</v>
      </c>
      <c r="D5" s="12">
        <v>1017</v>
      </c>
      <c r="E5" s="12">
        <v>984</v>
      </c>
      <c r="F5" s="24">
        <v>22.22</v>
      </c>
      <c r="G5" s="13">
        <f t="shared" ref="G5:G36" si="0">D5*F5</f>
        <v>22597.739999999998</v>
      </c>
      <c r="H5" s="14">
        <v>1</v>
      </c>
      <c r="I5" s="13">
        <v>21822</v>
      </c>
    </row>
    <row r="6" spans="1:9" x14ac:dyDescent="0.25">
      <c r="A6" s="4" t="s">
        <v>28</v>
      </c>
      <c r="B6" s="4" t="s">
        <v>821</v>
      </c>
      <c r="C6" s="4" t="s">
        <v>29</v>
      </c>
      <c r="D6" s="12">
        <v>8227</v>
      </c>
      <c r="E6" s="12">
        <v>8046</v>
      </c>
      <c r="F6" s="24">
        <v>8.85</v>
      </c>
      <c r="G6" s="13">
        <f t="shared" si="0"/>
        <v>72808.95</v>
      </c>
      <c r="H6" s="14">
        <v>1</v>
      </c>
      <c r="I6" s="13">
        <v>79489</v>
      </c>
    </row>
    <row r="7" spans="1:9" x14ac:dyDescent="0.25">
      <c r="A7" s="4" t="s">
        <v>31</v>
      </c>
      <c r="B7" s="4" t="s">
        <v>822</v>
      </c>
      <c r="C7" s="4" t="s">
        <v>32</v>
      </c>
      <c r="D7" s="12">
        <v>537</v>
      </c>
      <c r="E7" s="12">
        <v>426</v>
      </c>
      <c r="F7" s="24">
        <v>50.39</v>
      </c>
      <c r="G7" s="13">
        <f t="shared" si="0"/>
        <v>27059.43</v>
      </c>
      <c r="H7" s="14">
        <v>0.9</v>
      </c>
      <c r="I7" s="13">
        <v>23256</v>
      </c>
    </row>
    <row r="8" spans="1:9" x14ac:dyDescent="0.25">
      <c r="A8" s="4" t="s">
        <v>34</v>
      </c>
      <c r="B8" s="4" t="s">
        <v>823</v>
      </c>
      <c r="C8" s="4" t="s">
        <v>29</v>
      </c>
      <c r="D8" s="12">
        <v>3408</v>
      </c>
      <c r="E8" s="12">
        <v>2796</v>
      </c>
      <c r="F8" s="24">
        <v>6.83</v>
      </c>
      <c r="G8" s="13">
        <f t="shared" si="0"/>
        <v>23276.639999999999</v>
      </c>
      <c r="H8" s="14">
        <v>0.9</v>
      </c>
      <c r="I8" s="13">
        <v>18386</v>
      </c>
    </row>
    <row r="9" spans="1:9" x14ac:dyDescent="0.25">
      <c r="A9" s="4" t="s">
        <v>36</v>
      </c>
      <c r="B9" s="4" t="s">
        <v>824</v>
      </c>
      <c r="C9" s="4" t="s">
        <v>29</v>
      </c>
      <c r="D9" s="12">
        <v>63</v>
      </c>
      <c r="E9" s="12">
        <v>67</v>
      </c>
      <c r="F9" s="24">
        <v>321.44</v>
      </c>
      <c r="G9" s="13">
        <f t="shared" si="0"/>
        <v>20250.72</v>
      </c>
      <c r="H9" s="14">
        <v>1</v>
      </c>
      <c r="I9" s="13">
        <v>17941</v>
      </c>
    </row>
    <row r="10" spans="1:9" x14ac:dyDescent="0.25">
      <c r="A10" s="4" t="s">
        <v>38</v>
      </c>
      <c r="B10" s="4" t="s">
        <v>825</v>
      </c>
      <c r="C10" s="4" t="s">
        <v>32</v>
      </c>
      <c r="D10" s="12">
        <v>807</v>
      </c>
      <c r="E10" s="12">
        <v>687</v>
      </c>
      <c r="F10" s="24">
        <v>51.32</v>
      </c>
      <c r="G10" s="13">
        <f t="shared" si="0"/>
        <v>41415.24</v>
      </c>
      <c r="H10" s="14">
        <v>0.93</v>
      </c>
      <c r="I10" s="13">
        <v>39342</v>
      </c>
    </row>
    <row r="11" spans="1:9" x14ac:dyDescent="0.25">
      <c r="A11" s="4" t="s">
        <v>40</v>
      </c>
      <c r="B11" s="4" t="s">
        <v>826</v>
      </c>
      <c r="C11" s="4" t="s">
        <v>32</v>
      </c>
      <c r="D11" s="12">
        <v>553</v>
      </c>
      <c r="E11" s="12">
        <v>482</v>
      </c>
      <c r="F11" s="24">
        <v>42.15</v>
      </c>
      <c r="G11" s="13">
        <f t="shared" si="0"/>
        <v>23308.95</v>
      </c>
      <c r="H11" s="14">
        <v>1</v>
      </c>
      <c r="I11" s="13">
        <v>21862</v>
      </c>
    </row>
    <row r="12" spans="1:9" x14ac:dyDescent="0.25">
      <c r="A12" s="4" t="s">
        <v>42</v>
      </c>
      <c r="B12" s="4" t="s">
        <v>827</v>
      </c>
      <c r="C12" s="4" t="s">
        <v>29</v>
      </c>
      <c r="D12" s="12">
        <v>5622</v>
      </c>
      <c r="E12" s="12">
        <v>4385</v>
      </c>
      <c r="F12" s="24">
        <v>5.15</v>
      </c>
      <c r="G12" s="13">
        <f t="shared" si="0"/>
        <v>28953.300000000003</v>
      </c>
      <c r="H12" s="14">
        <v>0.92</v>
      </c>
      <c r="I12" s="13">
        <v>24135</v>
      </c>
    </row>
    <row r="13" spans="1:9" x14ac:dyDescent="0.25">
      <c r="A13" s="4" t="s">
        <v>44</v>
      </c>
      <c r="B13" s="4" t="s">
        <v>828</v>
      </c>
      <c r="C13" s="4" t="s">
        <v>45</v>
      </c>
      <c r="D13" s="12">
        <v>35468</v>
      </c>
      <c r="E13" s="12">
        <v>27268</v>
      </c>
      <c r="F13" s="24">
        <v>1.35</v>
      </c>
      <c r="G13" s="13">
        <f t="shared" si="0"/>
        <v>47881.8</v>
      </c>
      <c r="H13" s="14">
        <v>0.89</v>
      </c>
      <c r="I13" s="13">
        <v>39446</v>
      </c>
    </row>
    <row r="14" spans="1:9" x14ac:dyDescent="0.25">
      <c r="A14" s="4" t="s">
        <v>46</v>
      </c>
      <c r="B14" s="4" t="s">
        <v>825</v>
      </c>
      <c r="C14" s="4" t="s">
        <v>32</v>
      </c>
      <c r="D14" s="12">
        <v>1563</v>
      </c>
      <c r="E14" s="12">
        <v>1489</v>
      </c>
      <c r="F14" s="24">
        <v>41.73</v>
      </c>
      <c r="G14" s="13">
        <f t="shared" si="0"/>
        <v>65223.99</v>
      </c>
      <c r="H14" s="14">
        <v>1</v>
      </c>
      <c r="I14" s="13">
        <v>64127</v>
      </c>
    </row>
    <row r="15" spans="1:9" x14ac:dyDescent="0.25">
      <c r="A15" s="4" t="s">
        <v>48</v>
      </c>
      <c r="B15" s="4" t="s">
        <v>829</v>
      </c>
      <c r="C15" s="4" t="s">
        <v>29</v>
      </c>
      <c r="D15" s="12">
        <v>255</v>
      </c>
      <c r="E15" s="12">
        <v>220</v>
      </c>
      <c r="F15" s="24">
        <v>300.08</v>
      </c>
      <c r="G15" s="13">
        <f t="shared" si="0"/>
        <v>76520.399999999994</v>
      </c>
      <c r="H15" s="14">
        <v>0.96</v>
      </c>
      <c r="I15" s="13">
        <v>67110</v>
      </c>
    </row>
    <row r="16" spans="1:9" x14ac:dyDescent="0.25">
      <c r="A16" s="4" t="s">
        <v>49</v>
      </c>
      <c r="B16" s="4" t="s">
        <v>830</v>
      </c>
      <c r="C16" s="4" t="s">
        <v>29</v>
      </c>
      <c r="D16" s="12">
        <v>135</v>
      </c>
      <c r="E16" s="12">
        <v>127</v>
      </c>
      <c r="F16" s="24">
        <v>270.89</v>
      </c>
      <c r="G16" s="13">
        <f t="shared" si="0"/>
        <v>36570.15</v>
      </c>
      <c r="H16" s="14">
        <v>1</v>
      </c>
      <c r="I16" s="13">
        <v>36588</v>
      </c>
    </row>
    <row r="17" spans="1:9" x14ac:dyDescent="0.25">
      <c r="A17" s="4" t="s">
        <v>50</v>
      </c>
      <c r="B17" s="4" t="s">
        <v>831</v>
      </c>
      <c r="C17" s="4" t="s">
        <v>29</v>
      </c>
      <c r="D17" s="12">
        <v>6123</v>
      </c>
      <c r="E17" s="12">
        <v>5431</v>
      </c>
      <c r="F17" s="24">
        <v>6.49</v>
      </c>
      <c r="G17" s="13">
        <f t="shared" si="0"/>
        <v>39738.270000000004</v>
      </c>
      <c r="H17" s="14">
        <v>0.97</v>
      </c>
      <c r="I17" s="13">
        <v>38540</v>
      </c>
    </row>
    <row r="18" spans="1:9" x14ac:dyDescent="0.25">
      <c r="A18" s="4" t="s">
        <v>51</v>
      </c>
      <c r="B18" s="4" t="s">
        <v>832</v>
      </c>
      <c r="C18" s="4" t="s">
        <v>27</v>
      </c>
      <c r="D18" s="12">
        <v>3386</v>
      </c>
      <c r="E18" s="12">
        <v>2687</v>
      </c>
      <c r="F18" s="24">
        <v>47.02</v>
      </c>
      <c r="G18" s="13">
        <f t="shared" si="0"/>
        <v>159209.72</v>
      </c>
      <c r="H18" s="14">
        <v>0.92</v>
      </c>
      <c r="I18" s="13">
        <v>141293</v>
      </c>
    </row>
    <row r="19" spans="1:9" x14ac:dyDescent="0.25">
      <c r="A19" s="4" t="s">
        <v>52</v>
      </c>
      <c r="B19" s="4" t="s">
        <v>832</v>
      </c>
      <c r="C19" s="4" t="s">
        <v>27</v>
      </c>
      <c r="D19" s="12">
        <v>2998</v>
      </c>
      <c r="E19" s="12">
        <v>2488</v>
      </c>
      <c r="F19" s="24">
        <v>54.3</v>
      </c>
      <c r="G19" s="13">
        <f t="shared" si="0"/>
        <v>162791.4</v>
      </c>
      <c r="H19" s="14">
        <v>0.93</v>
      </c>
      <c r="I19" s="13">
        <v>152165</v>
      </c>
    </row>
    <row r="20" spans="1:9" x14ac:dyDescent="0.25">
      <c r="A20" s="4" t="s">
        <v>53</v>
      </c>
      <c r="B20" s="4" t="s">
        <v>833</v>
      </c>
      <c r="C20" s="4" t="s">
        <v>45</v>
      </c>
      <c r="D20" s="12">
        <v>24280</v>
      </c>
      <c r="E20" s="12">
        <v>23123</v>
      </c>
      <c r="F20" s="24">
        <v>1.83</v>
      </c>
      <c r="G20" s="13">
        <f t="shared" si="0"/>
        <v>44432.4</v>
      </c>
      <c r="H20" s="14">
        <v>1</v>
      </c>
      <c r="I20" s="13">
        <v>42192</v>
      </c>
    </row>
    <row r="21" spans="1:9" x14ac:dyDescent="0.25">
      <c r="A21" s="4" t="s">
        <v>54</v>
      </c>
      <c r="B21" s="4" t="s">
        <v>834</v>
      </c>
      <c r="C21" s="4" t="s">
        <v>29</v>
      </c>
      <c r="D21" s="12">
        <v>60</v>
      </c>
      <c r="E21" s="12">
        <v>45</v>
      </c>
      <c r="F21" s="24">
        <v>324.04000000000002</v>
      </c>
      <c r="G21" s="13">
        <f t="shared" si="0"/>
        <v>19442.400000000001</v>
      </c>
      <c r="H21" s="14">
        <v>0.93</v>
      </c>
      <c r="I21" s="13">
        <v>14322</v>
      </c>
    </row>
    <row r="22" spans="1:9" x14ac:dyDescent="0.25">
      <c r="A22" s="4" t="s">
        <v>56</v>
      </c>
      <c r="B22" s="4" t="s">
        <v>832</v>
      </c>
      <c r="C22" s="4" t="s">
        <v>27</v>
      </c>
      <c r="D22" s="12">
        <v>2006</v>
      </c>
      <c r="E22" s="12">
        <v>1696</v>
      </c>
      <c r="F22" s="24">
        <v>50.7</v>
      </c>
      <c r="G22" s="13">
        <f t="shared" si="0"/>
        <v>101704.20000000001</v>
      </c>
      <c r="H22" s="14">
        <v>1</v>
      </c>
      <c r="I22" s="13">
        <v>93617</v>
      </c>
    </row>
    <row r="23" spans="1:9" x14ac:dyDescent="0.25">
      <c r="A23" s="4" t="s">
        <v>58</v>
      </c>
      <c r="B23" s="4" t="s">
        <v>826</v>
      </c>
      <c r="C23" s="4" t="s">
        <v>32</v>
      </c>
      <c r="D23" s="12">
        <v>599</v>
      </c>
      <c r="E23" s="12">
        <v>481</v>
      </c>
      <c r="F23" s="24">
        <v>30.78</v>
      </c>
      <c r="G23" s="13">
        <f t="shared" si="0"/>
        <v>18437.22</v>
      </c>
      <c r="H23" s="14">
        <v>0.89</v>
      </c>
      <c r="I23" s="13">
        <v>15595</v>
      </c>
    </row>
    <row r="24" spans="1:9" x14ac:dyDescent="0.25">
      <c r="A24" s="4" t="s">
        <v>60</v>
      </c>
      <c r="B24" s="4" t="s">
        <v>835</v>
      </c>
      <c r="C24" s="4" t="s">
        <v>29</v>
      </c>
      <c r="D24" s="12">
        <v>500</v>
      </c>
      <c r="E24" s="12">
        <v>469</v>
      </c>
      <c r="F24" s="24">
        <v>252.2</v>
      </c>
      <c r="G24" s="13">
        <f t="shared" si="0"/>
        <v>126100</v>
      </c>
      <c r="H24" s="14">
        <v>1</v>
      </c>
      <c r="I24" s="13">
        <v>111896</v>
      </c>
    </row>
    <row r="25" spans="1:9" x14ac:dyDescent="0.25">
      <c r="A25" s="4" t="s">
        <v>62</v>
      </c>
      <c r="B25" s="4" t="s">
        <v>836</v>
      </c>
      <c r="C25" s="4" t="s">
        <v>45</v>
      </c>
      <c r="D25" s="12">
        <v>8569</v>
      </c>
      <c r="E25" s="12">
        <v>7657</v>
      </c>
      <c r="F25" s="24">
        <v>3.05</v>
      </c>
      <c r="G25" s="13">
        <f t="shared" si="0"/>
        <v>26135.449999999997</v>
      </c>
      <c r="H25" s="14">
        <v>0.99</v>
      </c>
      <c r="I25" s="13">
        <v>22320</v>
      </c>
    </row>
    <row r="26" spans="1:9" x14ac:dyDescent="0.25">
      <c r="A26" s="4" t="s">
        <v>64</v>
      </c>
      <c r="B26" s="4" t="s">
        <v>837</v>
      </c>
      <c r="C26" s="4" t="s">
        <v>29</v>
      </c>
      <c r="D26" s="12">
        <v>706</v>
      </c>
      <c r="E26" s="12">
        <v>651</v>
      </c>
      <c r="F26" s="24">
        <v>273.67</v>
      </c>
      <c r="G26" s="13">
        <f t="shared" si="0"/>
        <v>193211.02000000002</v>
      </c>
      <c r="H26" s="14">
        <v>1</v>
      </c>
      <c r="I26" s="13">
        <v>181164</v>
      </c>
    </row>
    <row r="27" spans="1:9" x14ac:dyDescent="0.25">
      <c r="A27" s="4" t="s">
        <v>66</v>
      </c>
      <c r="B27" s="4" t="s">
        <v>838</v>
      </c>
      <c r="C27" s="4" t="s">
        <v>27</v>
      </c>
      <c r="D27" s="12">
        <v>1834</v>
      </c>
      <c r="E27" s="12">
        <v>1738</v>
      </c>
      <c r="F27" s="24">
        <v>24.7</v>
      </c>
      <c r="G27" s="13">
        <f t="shared" si="0"/>
        <v>45299.799999999996</v>
      </c>
      <c r="H27" s="14">
        <v>1</v>
      </c>
      <c r="I27" s="13">
        <v>46766</v>
      </c>
    </row>
    <row r="28" spans="1:9" x14ac:dyDescent="0.25">
      <c r="A28" s="4" t="s">
        <v>67</v>
      </c>
      <c r="B28" s="4" t="s">
        <v>832</v>
      </c>
      <c r="C28" s="4" t="s">
        <v>27</v>
      </c>
      <c r="D28" s="12">
        <v>881</v>
      </c>
      <c r="E28" s="12">
        <v>681</v>
      </c>
      <c r="F28" s="24">
        <v>52.75</v>
      </c>
      <c r="G28" s="13">
        <f t="shared" si="0"/>
        <v>46472.75</v>
      </c>
      <c r="H28" s="14">
        <v>0.96</v>
      </c>
      <c r="I28" s="13">
        <v>35338</v>
      </c>
    </row>
    <row r="29" spans="1:9" x14ac:dyDescent="0.25">
      <c r="A29" s="4" t="s">
        <v>68</v>
      </c>
      <c r="B29" s="4" t="s">
        <v>839</v>
      </c>
      <c r="C29" s="4" t="s">
        <v>27</v>
      </c>
      <c r="D29" s="12">
        <v>3455</v>
      </c>
      <c r="E29" s="12">
        <v>2923</v>
      </c>
      <c r="F29" s="24">
        <v>49.48</v>
      </c>
      <c r="G29" s="13">
        <f t="shared" si="0"/>
        <v>170953.4</v>
      </c>
      <c r="H29" s="14">
        <v>0.99</v>
      </c>
      <c r="I29" s="13">
        <v>142442</v>
      </c>
    </row>
    <row r="30" spans="1:9" x14ac:dyDescent="0.25">
      <c r="A30" s="4" t="s">
        <v>69</v>
      </c>
      <c r="B30" s="4" t="s">
        <v>833</v>
      </c>
      <c r="C30" s="4" t="s">
        <v>45</v>
      </c>
      <c r="D30" s="12">
        <v>50410</v>
      </c>
      <c r="E30" s="12">
        <v>43250</v>
      </c>
      <c r="F30" s="24">
        <v>1.67</v>
      </c>
      <c r="G30" s="13">
        <f t="shared" si="0"/>
        <v>84184.7</v>
      </c>
      <c r="H30" s="14">
        <v>0.95</v>
      </c>
      <c r="I30" s="13">
        <v>80759</v>
      </c>
    </row>
    <row r="31" spans="1:9" x14ac:dyDescent="0.25">
      <c r="A31" s="4" t="s">
        <v>70</v>
      </c>
      <c r="B31" s="4" t="s">
        <v>840</v>
      </c>
      <c r="C31" s="4" t="s">
        <v>27</v>
      </c>
      <c r="D31" s="12">
        <v>1765</v>
      </c>
      <c r="E31" s="12">
        <v>1683</v>
      </c>
      <c r="F31" s="24">
        <v>50.46</v>
      </c>
      <c r="G31" s="13">
        <f t="shared" si="0"/>
        <v>89061.900000000009</v>
      </c>
      <c r="H31" s="14">
        <v>1</v>
      </c>
      <c r="I31" s="13">
        <v>96081</v>
      </c>
    </row>
    <row r="32" spans="1:9" x14ac:dyDescent="0.25">
      <c r="A32" s="4" t="s">
        <v>71</v>
      </c>
      <c r="B32" s="4" t="s">
        <v>841</v>
      </c>
      <c r="C32" s="4" t="s">
        <v>27</v>
      </c>
      <c r="D32" s="12">
        <v>492</v>
      </c>
      <c r="E32" s="12">
        <v>385</v>
      </c>
      <c r="F32" s="24">
        <v>28.98</v>
      </c>
      <c r="G32" s="13">
        <f t="shared" si="0"/>
        <v>14258.16</v>
      </c>
      <c r="H32" s="14">
        <v>0.89</v>
      </c>
      <c r="I32" s="13">
        <v>12528</v>
      </c>
    </row>
    <row r="33" spans="1:9" x14ac:dyDescent="0.25">
      <c r="A33" s="4" t="s">
        <v>72</v>
      </c>
      <c r="B33" s="4" t="s">
        <v>842</v>
      </c>
      <c r="C33" s="4" t="s">
        <v>29</v>
      </c>
      <c r="D33" s="12">
        <v>775</v>
      </c>
      <c r="E33" s="12">
        <v>729</v>
      </c>
      <c r="F33" s="24">
        <v>248.31</v>
      </c>
      <c r="G33" s="13">
        <f t="shared" si="0"/>
        <v>192440.25</v>
      </c>
      <c r="H33" s="14">
        <v>1</v>
      </c>
      <c r="I33" s="13">
        <v>179002</v>
      </c>
    </row>
    <row r="34" spans="1:9" x14ac:dyDescent="0.25">
      <c r="A34" s="4" t="s">
        <v>73</v>
      </c>
      <c r="B34" s="4" t="s">
        <v>843</v>
      </c>
      <c r="C34" s="4" t="s">
        <v>74</v>
      </c>
      <c r="D34" s="12">
        <v>113</v>
      </c>
      <c r="E34" s="12">
        <v>112</v>
      </c>
      <c r="F34" s="24">
        <v>274.44</v>
      </c>
      <c r="G34" s="13">
        <f t="shared" si="0"/>
        <v>31011.72</v>
      </c>
      <c r="H34" s="14">
        <v>1</v>
      </c>
      <c r="I34" s="13">
        <v>30718</v>
      </c>
    </row>
    <row r="35" spans="1:9" x14ac:dyDescent="0.25">
      <c r="A35" s="4" t="s">
        <v>75</v>
      </c>
      <c r="B35" s="4" t="s">
        <v>844</v>
      </c>
      <c r="C35" s="4" t="s">
        <v>45</v>
      </c>
      <c r="D35" s="12">
        <v>31621</v>
      </c>
      <c r="E35" s="12">
        <v>27588</v>
      </c>
      <c r="F35" s="24">
        <v>3</v>
      </c>
      <c r="G35" s="13">
        <f t="shared" si="0"/>
        <v>94863</v>
      </c>
      <c r="H35" s="14">
        <v>0.92</v>
      </c>
      <c r="I35" s="13">
        <v>91522</v>
      </c>
    </row>
    <row r="36" spans="1:9" x14ac:dyDescent="0.25">
      <c r="A36" s="4" t="s">
        <v>76</v>
      </c>
      <c r="B36" s="4" t="s">
        <v>845</v>
      </c>
      <c r="C36" s="4" t="s">
        <v>29</v>
      </c>
      <c r="D36" s="12">
        <v>2862</v>
      </c>
      <c r="E36" s="12">
        <v>2812</v>
      </c>
      <c r="F36" s="24">
        <v>8.42</v>
      </c>
      <c r="G36" s="13">
        <f t="shared" si="0"/>
        <v>24098.04</v>
      </c>
      <c r="H36" s="14">
        <v>1</v>
      </c>
      <c r="I36" s="13">
        <v>22679</v>
      </c>
    </row>
    <row r="37" spans="1:9" x14ac:dyDescent="0.25">
      <c r="A37" s="4" t="s">
        <v>77</v>
      </c>
      <c r="B37" s="4" t="s">
        <v>846</v>
      </c>
      <c r="C37" s="4" t="s">
        <v>45</v>
      </c>
      <c r="D37" s="12">
        <v>16973</v>
      </c>
      <c r="E37" s="12">
        <v>16668</v>
      </c>
      <c r="F37" s="24">
        <v>1.85</v>
      </c>
      <c r="G37" s="13">
        <f t="shared" ref="G37:G68" si="1">D37*F37</f>
        <v>31400.050000000003</v>
      </c>
      <c r="H37" s="14">
        <v>1</v>
      </c>
      <c r="I37" s="13">
        <v>30107</v>
      </c>
    </row>
    <row r="38" spans="1:9" x14ac:dyDescent="0.25">
      <c r="A38" s="4" t="s">
        <v>78</v>
      </c>
      <c r="B38" s="4" t="s">
        <v>847</v>
      </c>
      <c r="C38" s="4" t="s">
        <v>45</v>
      </c>
      <c r="D38" s="12">
        <v>54294</v>
      </c>
      <c r="E38" s="12">
        <v>47885</v>
      </c>
      <c r="F38" s="24">
        <v>1.55</v>
      </c>
      <c r="G38" s="13">
        <f t="shared" si="1"/>
        <v>84155.7</v>
      </c>
      <c r="H38" s="14">
        <v>1</v>
      </c>
      <c r="I38" s="13">
        <v>83408</v>
      </c>
    </row>
    <row r="39" spans="1:9" x14ac:dyDescent="0.25">
      <c r="A39" s="4" t="s">
        <v>79</v>
      </c>
      <c r="B39" s="4" t="s">
        <v>848</v>
      </c>
      <c r="C39" s="4" t="s">
        <v>45</v>
      </c>
      <c r="D39" s="12">
        <v>21122</v>
      </c>
      <c r="E39" s="12">
        <v>18212</v>
      </c>
      <c r="F39" s="24">
        <v>2.15</v>
      </c>
      <c r="G39" s="13">
        <f t="shared" si="1"/>
        <v>45412.299999999996</v>
      </c>
      <c r="H39" s="14">
        <v>1</v>
      </c>
      <c r="I39" s="13">
        <v>39496</v>
      </c>
    </row>
    <row r="40" spans="1:9" x14ac:dyDescent="0.25">
      <c r="A40" s="4" t="s">
        <v>80</v>
      </c>
      <c r="B40" s="4" t="s">
        <v>842</v>
      </c>
      <c r="C40" s="4" t="s">
        <v>29</v>
      </c>
      <c r="D40" s="12">
        <v>387</v>
      </c>
      <c r="E40" s="12">
        <v>312</v>
      </c>
      <c r="F40" s="24">
        <v>308.64999999999998</v>
      </c>
      <c r="G40" s="13">
        <f t="shared" si="1"/>
        <v>119447.54999999999</v>
      </c>
      <c r="H40" s="14">
        <v>0.87</v>
      </c>
      <c r="I40" s="13">
        <v>103236</v>
      </c>
    </row>
    <row r="41" spans="1:9" x14ac:dyDescent="0.25">
      <c r="A41" s="4" t="s">
        <v>81</v>
      </c>
      <c r="B41" s="4" t="s">
        <v>832</v>
      </c>
      <c r="C41" s="4" t="s">
        <v>27</v>
      </c>
      <c r="D41" s="12">
        <v>3013</v>
      </c>
      <c r="E41" s="12">
        <v>2992</v>
      </c>
      <c r="F41" s="24">
        <v>40.53</v>
      </c>
      <c r="G41" s="13">
        <f t="shared" si="1"/>
        <v>122116.89</v>
      </c>
      <c r="H41" s="14">
        <v>1</v>
      </c>
      <c r="I41" s="13">
        <v>130959</v>
      </c>
    </row>
    <row r="42" spans="1:9" x14ac:dyDescent="0.25">
      <c r="A42" s="4" t="s">
        <v>82</v>
      </c>
      <c r="B42" s="4" t="s">
        <v>849</v>
      </c>
      <c r="C42" s="4" t="s">
        <v>29</v>
      </c>
      <c r="D42" s="12">
        <v>4386</v>
      </c>
      <c r="E42" s="12">
        <v>3409</v>
      </c>
      <c r="F42" s="24">
        <v>6.77</v>
      </c>
      <c r="G42" s="13">
        <f t="shared" si="1"/>
        <v>29693.219999999998</v>
      </c>
      <c r="H42" s="14">
        <v>0.95</v>
      </c>
      <c r="I42" s="13">
        <v>25526</v>
      </c>
    </row>
    <row r="43" spans="1:9" x14ac:dyDescent="0.25">
      <c r="A43" s="4" t="s">
        <v>83</v>
      </c>
      <c r="B43" s="4" t="s">
        <v>825</v>
      </c>
      <c r="C43" s="4" t="s">
        <v>32</v>
      </c>
      <c r="D43" s="12">
        <v>1605</v>
      </c>
      <c r="E43" s="12">
        <v>1485</v>
      </c>
      <c r="F43" s="24">
        <v>51.46</v>
      </c>
      <c r="G43" s="13">
        <f t="shared" si="1"/>
        <v>82593.3</v>
      </c>
      <c r="H43" s="14">
        <v>1</v>
      </c>
      <c r="I43" s="13">
        <v>74789</v>
      </c>
    </row>
    <row r="44" spans="1:9" x14ac:dyDescent="0.25">
      <c r="A44" s="4" t="s">
        <v>84</v>
      </c>
      <c r="B44" s="4" t="s">
        <v>850</v>
      </c>
      <c r="C44" s="4" t="s">
        <v>29</v>
      </c>
      <c r="D44" s="12">
        <v>752</v>
      </c>
      <c r="E44" s="12">
        <v>732</v>
      </c>
      <c r="F44" s="24">
        <v>258.73</v>
      </c>
      <c r="G44" s="13">
        <f t="shared" si="1"/>
        <v>194564.96000000002</v>
      </c>
      <c r="H44" s="14">
        <v>1</v>
      </c>
      <c r="I44" s="13">
        <v>183459</v>
      </c>
    </row>
    <row r="45" spans="1:9" x14ac:dyDescent="0.25">
      <c r="A45" s="4" t="s">
        <v>85</v>
      </c>
      <c r="B45" s="4" t="s">
        <v>851</v>
      </c>
      <c r="C45" s="4" t="s">
        <v>29</v>
      </c>
      <c r="D45" s="12">
        <v>9481</v>
      </c>
      <c r="E45" s="12">
        <v>8952</v>
      </c>
      <c r="F45" s="24">
        <v>8.85</v>
      </c>
      <c r="G45" s="13">
        <f t="shared" si="1"/>
        <v>83906.849999999991</v>
      </c>
      <c r="H45" s="14">
        <v>0.98</v>
      </c>
      <c r="I45" s="13">
        <v>89510</v>
      </c>
    </row>
    <row r="46" spans="1:9" x14ac:dyDescent="0.25">
      <c r="A46" s="4" t="s">
        <v>86</v>
      </c>
      <c r="B46" s="4" t="s">
        <v>852</v>
      </c>
      <c r="C46" s="4" t="s">
        <v>29</v>
      </c>
      <c r="D46" s="12">
        <v>521</v>
      </c>
      <c r="E46" s="12">
        <v>407</v>
      </c>
      <c r="F46" s="24">
        <v>230.1</v>
      </c>
      <c r="G46" s="13">
        <f t="shared" si="1"/>
        <v>119882.09999999999</v>
      </c>
      <c r="H46" s="14">
        <v>0.91</v>
      </c>
      <c r="I46" s="13">
        <v>98703</v>
      </c>
    </row>
    <row r="47" spans="1:9" x14ac:dyDescent="0.25">
      <c r="A47" s="4" t="s">
        <v>87</v>
      </c>
      <c r="B47" s="4" t="s">
        <v>853</v>
      </c>
      <c r="C47" s="4" t="s">
        <v>29</v>
      </c>
      <c r="D47" s="12">
        <v>5444</v>
      </c>
      <c r="E47" s="12">
        <v>4134</v>
      </c>
      <c r="F47" s="24">
        <v>9.33</v>
      </c>
      <c r="G47" s="13">
        <f t="shared" si="1"/>
        <v>50792.52</v>
      </c>
      <c r="H47" s="14">
        <v>0.91</v>
      </c>
      <c r="I47" s="13">
        <v>42423</v>
      </c>
    </row>
    <row r="48" spans="1:9" x14ac:dyDescent="0.25">
      <c r="A48" s="4" t="s">
        <v>88</v>
      </c>
      <c r="B48" s="4" t="s">
        <v>854</v>
      </c>
      <c r="C48" s="4" t="s">
        <v>29</v>
      </c>
      <c r="D48" s="12">
        <v>57</v>
      </c>
      <c r="E48" s="12">
        <v>56</v>
      </c>
      <c r="F48" s="24">
        <v>369.76</v>
      </c>
      <c r="G48" s="13">
        <f t="shared" si="1"/>
        <v>21076.32</v>
      </c>
      <c r="H48" s="14">
        <v>1</v>
      </c>
      <c r="I48" s="13">
        <v>22771</v>
      </c>
    </row>
    <row r="49" spans="1:9" x14ac:dyDescent="0.25">
      <c r="A49" s="4" t="s">
        <v>89</v>
      </c>
      <c r="B49" s="4" t="s">
        <v>842</v>
      </c>
      <c r="C49" s="4" t="s">
        <v>29</v>
      </c>
      <c r="D49" s="12">
        <v>262</v>
      </c>
      <c r="E49" s="12">
        <v>238</v>
      </c>
      <c r="F49" s="24">
        <v>273.16000000000003</v>
      </c>
      <c r="G49" s="13">
        <f t="shared" si="1"/>
        <v>71567.920000000013</v>
      </c>
      <c r="H49" s="14">
        <v>1</v>
      </c>
      <c r="I49" s="13">
        <v>61893</v>
      </c>
    </row>
    <row r="50" spans="1:9" x14ac:dyDescent="0.25">
      <c r="A50" s="4" t="s">
        <v>90</v>
      </c>
      <c r="B50" s="4" t="s">
        <v>845</v>
      </c>
      <c r="C50" s="4" t="s">
        <v>29</v>
      </c>
      <c r="D50" s="12">
        <v>1501</v>
      </c>
      <c r="E50" s="12">
        <v>1290</v>
      </c>
      <c r="F50" s="24">
        <v>9</v>
      </c>
      <c r="G50" s="13">
        <f t="shared" si="1"/>
        <v>13509</v>
      </c>
      <c r="H50" s="14">
        <v>1</v>
      </c>
      <c r="I50" s="13">
        <v>11633</v>
      </c>
    </row>
    <row r="51" spans="1:9" x14ac:dyDescent="0.25">
      <c r="A51" s="4" t="s">
        <v>91</v>
      </c>
      <c r="B51" s="4" t="s">
        <v>853</v>
      </c>
      <c r="C51" s="4" t="s">
        <v>29</v>
      </c>
      <c r="D51" s="12">
        <v>4478</v>
      </c>
      <c r="E51" s="12">
        <v>3470</v>
      </c>
      <c r="F51" s="24">
        <v>9.23</v>
      </c>
      <c r="G51" s="13">
        <f t="shared" si="1"/>
        <v>41331.94</v>
      </c>
      <c r="H51" s="14">
        <v>0.86</v>
      </c>
      <c r="I51" s="13">
        <v>33183</v>
      </c>
    </row>
    <row r="52" spans="1:9" x14ac:dyDescent="0.25">
      <c r="A52" s="4" t="s">
        <v>92</v>
      </c>
      <c r="B52" s="4" t="s">
        <v>830</v>
      </c>
      <c r="C52" s="4" t="s">
        <v>29</v>
      </c>
      <c r="D52" s="12">
        <v>197</v>
      </c>
      <c r="E52" s="12">
        <v>194</v>
      </c>
      <c r="F52" s="24">
        <v>301.95999999999998</v>
      </c>
      <c r="G52" s="13">
        <f t="shared" si="1"/>
        <v>59486.119999999995</v>
      </c>
      <c r="H52" s="14">
        <v>1</v>
      </c>
      <c r="I52" s="13">
        <v>59044</v>
      </c>
    </row>
    <row r="53" spans="1:9" x14ac:dyDescent="0.25">
      <c r="A53" s="4" t="s">
        <v>93</v>
      </c>
      <c r="B53" s="4" t="s">
        <v>855</v>
      </c>
      <c r="C53" s="4" t="s">
        <v>45</v>
      </c>
      <c r="D53" s="12">
        <v>30766</v>
      </c>
      <c r="E53" s="12">
        <v>24549</v>
      </c>
      <c r="F53" s="24">
        <v>1.69</v>
      </c>
      <c r="G53" s="13">
        <f t="shared" si="1"/>
        <v>51994.54</v>
      </c>
      <c r="H53" s="14">
        <v>0.88</v>
      </c>
      <c r="I53" s="13">
        <v>40851</v>
      </c>
    </row>
    <row r="54" spans="1:9" x14ac:dyDescent="0.25">
      <c r="A54" s="4" t="s">
        <v>94</v>
      </c>
      <c r="B54" s="4" t="s">
        <v>856</v>
      </c>
      <c r="C54" s="4" t="s">
        <v>29</v>
      </c>
      <c r="D54" s="12">
        <v>2444</v>
      </c>
      <c r="E54" s="12">
        <v>2316</v>
      </c>
      <c r="F54" s="24">
        <v>10.4</v>
      </c>
      <c r="G54" s="13">
        <f t="shared" si="1"/>
        <v>25417.600000000002</v>
      </c>
      <c r="H54" s="14">
        <v>0.99</v>
      </c>
      <c r="I54" s="13">
        <v>23729</v>
      </c>
    </row>
    <row r="55" spans="1:9" x14ac:dyDescent="0.25">
      <c r="A55" s="4" t="s">
        <v>95</v>
      </c>
      <c r="B55" s="4" t="s">
        <v>857</v>
      </c>
      <c r="C55" s="4" t="s">
        <v>27</v>
      </c>
      <c r="D55" s="12">
        <v>2581</v>
      </c>
      <c r="E55" s="12">
        <v>2283</v>
      </c>
      <c r="F55" s="24">
        <v>42.94</v>
      </c>
      <c r="G55" s="13">
        <f t="shared" si="1"/>
        <v>110828.14</v>
      </c>
      <c r="H55" s="14">
        <v>1</v>
      </c>
      <c r="I55" s="13">
        <v>104437</v>
      </c>
    </row>
    <row r="56" spans="1:9" x14ac:dyDescent="0.25">
      <c r="A56" s="4" t="s">
        <v>96</v>
      </c>
      <c r="B56" s="4" t="s">
        <v>821</v>
      </c>
      <c r="C56" s="4" t="s">
        <v>29</v>
      </c>
      <c r="D56" s="12">
        <v>7641</v>
      </c>
      <c r="E56" s="12">
        <v>6263</v>
      </c>
      <c r="F56" s="24">
        <v>7.89</v>
      </c>
      <c r="G56" s="13">
        <f t="shared" si="1"/>
        <v>60287.49</v>
      </c>
      <c r="H56" s="14">
        <v>0.91</v>
      </c>
      <c r="I56" s="13">
        <v>48226</v>
      </c>
    </row>
    <row r="57" spans="1:9" x14ac:dyDescent="0.25">
      <c r="A57" s="4" t="s">
        <v>97</v>
      </c>
      <c r="B57" s="4" t="s">
        <v>858</v>
      </c>
      <c r="C57" s="4" t="s">
        <v>27</v>
      </c>
      <c r="D57" s="12">
        <v>3994</v>
      </c>
      <c r="E57" s="12">
        <v>3834</v>
      </c>
      <c r="F57" s="24">
        <v>50</v>
      </c>
      <c r="G57" s="13">
        <f t="shared" si="1"/>
        <v>199700</v>
      </c>
      <c r="H57" s="14">
        <v>1</v>
      </c>
      <c r="I57" s="13">
        <v>217256</v>
      </c>
    </row>
    <row r="58" spans="1:9" x14ac:dyDescent="0.25">
      <c r="A58" s="4" t="s">
        <v>98</v>
      </c>
      <c r="B58" s="4" t="s">
        <v>859</v>
      </c>
      <c r="C58" s="4" t="s">
        <v>29</v>
      </c>
      <c r="D58" s="12">
        <v>5362</v>
      </c>
      <c r="E58" s="12">
        <v>4727</v>
      </c>
      <c r="F58" s="24">
        <v>9.07</v>
      </c>
      <c r="G58" s="13">
        <f t="shared" si="1"/>
        <v>48633.340000000004</v>
      </c>
      <c r="H58" s="14">
        <v>1</v>
      </c>
      <c r="I58" s="13">
        <v>43891</v>
      </c>
    </row>
    <row r="59" spans="1:9" x14ac:dyDescent="0.25">
      <c r="A59" s="4" t="s">
        <v>99</v>
      </c>
      <c r="B59" s="4" t="s">
        <v>820</v>
      </c>
      <c r="C59" s="4" t="s">
        <v>27</v>
      </c>
      <c r="D59" s="12">
        <v>1000</v>
      </c>
      <c r="E59" s="12">
        <v>757</v>
      </c>
      <c r="F59" s="24">
        <v>25.88</v>
      </c>
      <c r="G59" s="13">
        <f t="shared" si="1"/>
        <v>25880</v>
      </c>
      <c r="H59" s="14">
        <v>0.86</v>
      </c>
      <c r="I59" s="13">
        <v>20812</v>
      </c>
    </row>
    <row r="60" spans="1:9" x14ac:dyDescent="0.25">
      <c r="A60" s="4" t="s">
        <v>100</v>
      </c>
      <c r="B60" s="4" t="s">
        <v>860</v>
      </c>
      <c r="C60" s="4" t="s">
        <v>29</v>
      </c>
      <c r="D60" s="12">
        <v>425</v>
      </c>
      <c r="E60" s="12">
        <v>388</v>
      </c>
      <c r="F60" s="24">
        <v>294.77999999999997</v>
      </c>
      <c r="G60" s="13">
        <f t="shared" si="1"/>
        <v>125281.49999999999</v>
      </c>
      <c r="H60" s="14">
        <v>0.96</v>
      </c>
      <c r="I60" s="13">
        <v>116957</v>
      </c>
    </row>
    <row r="61" spans="1:9" x14ac:dyDescent="0.25">
      <c r="A61" s="4" t="s">
        <v>101</v>
      </c>
      <c r="B61" s="4" t="s">
        <v>861</v>
      </c>
      <c r="C61" s="4" t="s">
        <v>45</v>
      </c>
      <c r="D61" s="12">
        <v>41973</v>
      </c>
      <c r="E61" s="12">
        <v>33517</v>
      </c>
      <c r="F61" s="24">
        <v>1.51</v>
      </c>
      <c r="G61" s="13">
        <f t="shared" si="1"/>
        <v>63379.23</v>
      </c>
      <c r="H61" s="14">
        <v>0.98</v>
      </c>
      <c r="I61" s="13">
        <v>53600</v>
      </c>
    </row>
    <row r="62" spans="1:9" x14ac:dyDescent="0.25">
      <c r="A62" s="4" t="s">
        <v>102</v>
      </c>
      <c r="B62" s="4" t="s">
        <v>838</v>
      </c>
      <c r="C62" s="4" t="s">
        <v>27</v>
      </c>
      <c r="D62" s="12">
        <v>1312</v>
      </c>
      <c r="E62" s="12">
        <v>1196</v>
      </c>
      <c r="F62" s="24">
        <v>23.93</v>
      </c>
      <c r="G62" s="13">
        <f t="shared" si="1"/>
        <v>31396.16</v>
      </c>
      <c r="H62" s="14">
        <v>0.96</v>
      </c>
      <c r="I62" s="13">
        <v>27871</v>
      </c>
    </row>
    <row r="63" spans="1:9" x14ac:dyDescent="0.25">
      <c r="A63" s="4" t="s">
        <v>103</v>
      </c>
      <c r="B63" s="4" t="s">
        <v>862</v>
      </c>
      <c r="C63" s="4" t="s">
        <v>27</v>
      </c>
      <c r="D63" s="12">
        <v>1313</v>
      </c>
      <c r="E63" s="12">
        <v>1060</v>
      </c>
      <c r="F63" s="24">
        <v>24.93</v>
      </c>
      <c r="G63" s="13">
        <f t="shared" si="1"/>
        <v>32733.09</v>
      </c>
      <c r="H63" s="14">
        <v>0.92</v>
      </c>
      <c r="I63" s="13">
        <v>30019</v>
      </c>
    </row>
    <row r="64" spans="1:9" x14ac:dyDescent="0.25">
      <c r="A64" s="4" t="s">
        <v>104</v>
      </c>
      <c r="B64" s="4" t="s">
        <v>843</v>
      </c>
      <c r="C64" s="4" t="s">
        <v>29</v>
      </c>
      <c r="D64" s="12">
        <v>142</v>
      </c>
      <c r="E64" s="12">
        <v>120</v>
      </c>
      <c r="F64" s="24">
        <v>342.48</v>
      </c>
      <c r="G64" s="13">
        <f t="shared" si="1"/>
        <v>48632.160000000003</v>
      </c>
      <c r="H64" s="14">
        <v>0.96</v>
      </c>
      <c r="I64" s="13">
        <v>40340</v>
      </c>
    </row>
    <row r="65" spans="1:9" x14ac:dyDescent="0.25">
      <c r="A65" s="4" t="s">
        <v>105</v>
      </c>
      <c r="B65" s="4" t="s">
        <v>830</v>
      </c>
      <c r="C65" s="4" t="s">
        <v>29</v>
      </c>
      <c r="D65" s="12">
        <v>172</v>
      </c>
      <c r="E65" s="12">
        <v>159</v>
      </c>
      <c r="F65" s="24">
        <v>314.95</v>
      </c>
      <c r="G65" s="13">
        <f t="shared" si="1"/>
        <v>54171.4</v>
      </c>
      <c r="H65" s="14">
        <v>1</v>
      </c>
      <c r="I65" s="13">
        <v>54255</v>
      </c>
    </row>
    <row r="66" spans="1:9" x14ac:dyDescent="0.25">
      <c r="A66" s="4" t="s">
        <v>106</v>
      </c>
      <c r="B66" s="4" t="s">
        <v>863</v>
      </c>
      <c r="C66" s="4" t="s">
        <v>29</v>
      </c>
      <c r="D66" s="12">
        <v>2457</v>
      </c>
      <c r="E66" s="12">
        <v>2065</v>
      </c>
      <c r="F66" s="24">
        <v>8.3800000000000008</v>
      </c>
      <c r="G66" s="13">
        <f t="shared" si="1"/>
        <v>20589.660000000003</v>
      </c>
      <c r="H66" s="14">
        <v>0.94</v>
      </c>
      <c r="I66" s="13">
        <v>18377</v>
      </c>
    </row>
    <row r="67" spans="1:9" x14ac:dyDescent="0.25">
      <c r="A67" s="4" t="s">
        <v>107</v>
      </c>
      <c r="B67" s="4" t="s">
        <v>847</v>
      </c>
      <c r="C67" s="4" t="s">
        <v>45</v>
      </c>
      <c r="D67" s="12">
        <v>20690</v>
      </c>
      <c r="E67" s="12">
        <v>15552</v>
      </c>
      <c r="F67" s="24">
        <v>1.75</v>
      </c>
      <c r="G67" s="13">
        <f t="shared" si="1"/>
        <v>36207.5</v>
      </c>
      <c r="H67" s="14">
        <v>0.84</v>
      </c>
      <c r="I67" s="13">
        <v>30434</v>
      </c>
    </row>
    <row r="68" spans="1:9" x14ac:dyDescent="0.25">
      <c r="A68" s="4" t="s">
        <v>108</v>
      </c>
      <c r="B68" s="4" t="s">
        <v>832</v>
      </c>
      <c r="C68" s="4" t="s">
        <v>27</v>
      </c>
      <c r="D68" s="12">
        <v>3911</v>
      </c>
      <c r="E68" s="12">
        <v>3760</v>
      </c>
      <c r="F68" s="24">
        <v>54.55</v>
      </c>
      <c r="G68" s="13">
        <f t="shared" si="1"/>
        <v>213345.05</v>
      </c>
      <c r="H68" s="14">
        <v>1</v>
      </c>
      <c r="I68" s="13">
        <v>225633</v>
      </c>
    </row>
    <row r="69" spans="1:9" x14ac:dyDescent="0.25">
      <c r="A69" s="4" t="s">
        <v>109</v>
      </c>
      <c r="B69" s="4" t="s">
        <v>862</v>
      </c>
      <c r="C69" s="4" t="s">
        <v>27</v>
      </c>
      <c r="D69" s="12">
        <v>729</v>
      </c>
      <c r="E69" s="12">
        <v>637</v>
      </c>
      <c r="F69" s="24">
        <v>20.07</v>
      </c>
      <c r="G69" s="13">
        <f t="shared" ref="G69:G100" si="2">D69*F69</f>
        <v>14631.03</v>
      </c>
      <c r="H69" s="14">
        <v>0.95</v>
      </c>
      <c r="I69" s="13">
        <v>14424</v>
      </c>
    </row>
    <row r="70" spans="1:9" x14ac:dyDescent="0.25">
      <c r="A70" s="4" t="s">
        <v>110</v>
      </c>
      <c r="B70" s="4" t="s">
        <v>864</v>
      </c>
      <c r="C70" s="4" t="s">
        <v>27</v>
      </c>
      <c r="D70" s="12">
        <v>1405</v>
      </c>
      <c r="E70" s="12">
        <v>1323</v>
      </c>
      <c r="F70" s="24">
        <v>43.42</v>
      </c>
      <c r="G70" s="13">
        <f t="shared" si="2"/>
        <v>61005.100000000006</v>
      </c>
      <c r="H70" s="14">
        <v>1</v>
      </c>
      <c r="I70" s="13">
        <v>55596</v>
      </c>
    </row>
    <row r="71" spans="1:9" x14ac:dyDescent="0.25">
      <c r="A71" s="4" t="s">
        <v>111</v>
      </c>
      <c r="B71" s="4" t="s">
        <v>825</v>
      </c>
      <c r="C71" s="4" t="s">
        <v>32</v>
      </c>
      <c r="D71" s="12">
        <v>307</v>
      </c>
      <c r="E71" s="12">
        <v>266</v>
      </c>
      <c r="F71" s="24">
        <v>39.729999999999997</v>
      </c>
      <c r="G71" s="13">
        <f t="shared" si="2"/>
        <v>12197.109999999999</v>
      </c>
      <c r="H71" s="14">
        <v>0.95</v>
      </c>
      <c r="I71" s="13">
        <v>11049</v>
      </c>
    </row>
    <row r="72" spans="1:9" x14ac:dyDescent="0.25">
      <c r="A72" s="4" t="s">
        <v>112</v>
      </c>
      <c r="B72" s="4" t="s">
        <v>820</v>
      </c>
      <c r="C72" s="4" t="s">
        <v>27</v>
      </c>
      <c r="D72" s="12">
        <v>747</v>
      </c>
      <c r="E72" s="12">
        <v>726</v>
      </c>
      <c r="F72" s="24">
        <v>27.67</v>
      </c>
      <c r="G72" s="13">
        <f t="shared" si="2"/>
        <v>20669.490000000002</v>
      </c>
      <c r="H72" s="14">
        <v>1</v>
      </c>
      <c r="I72" s="13">
        <v>21355</v>
      </c>
    </row>
    <row r="73" spans="1:9" x14ac:dyDescent="0.25">
      <c r="A73" s="4" t="s">
        <v>113</v>
      </c>
      <c r="B73" s="4" t="s">
        <v>848</v>
      </c>
      <c r="C73" s="4" t="s">
        <v>45</v>
      </c>
      <c r="D73" s="12">
        <v>19062</v>
      </c>
      <c r="E73" s="12">
        <v>17268</v>
      </c>
      <c r="F73" s="24">
        <v>2.5099999999999998</v>
      </c>
      <c r="G73" s="13">
        <f t="shared" si="2"/>
        <v>47845.619999999995</v>
      </c>
      <c r="H73" s="14">
        <v>1</v>
      </c>
      <c r="I73" s="13">
        <v>48614</v>
      </c>
    </row>
    <row r="74" spans="1:9" x14ac:dyDescent="0.25">
      <c r="A74" s="4" t="s">
        <v>114</v>
      </c>
      <c r="B74" s="4" t="s">
        <v>865</v>
      </c>
      <c r="C74" s="4" t="s">
        <v>45</v>
      </c>
      <c r="D74" s="12">
        <v>27791</v>
      </c>
      <c r="E74" s="12">
        <v>27072</v>
      </c>
      <c r="F74" s="24">
        <v>2.08</v>
      </c>
      <c r="G74" s="13">
        <f t="shared" si="2"/>
        <v>57805.279999999999</v>
      </c>
      <c r="H74" s="14">
        <v>1</v>
      </c>
      <c r="I74" s="13">
        <v>62432</v>
      </c>
    </row>
    <row r="75" spans="1:9" x14ac:dyDescent="0.25">
      <c r="A75" s="4" t="s">
        <v>115</v>
      </c>
      <c r="B75" s="4" t="s">
        <v>836</v>
      </c>
      <c r="C75" s="4" t="s">
        <v>45</v>
      </c>
      <c r="D75" s="12">
        <v>36353</v>
      </c>
      <c r="E75" s="12">
        <v>35539</v>
      </c>
      <c r="F75" s="24">
        <v>2.4300000000000002</v>
      </c>
      <c r="G75" s="13">
        <f t="shared" si="2"/>
        <v>88337.790000000008</v>
      </c>
      <c r="H75" s="14">
        <v>1</v>
      </c>
      <c r="I75" s="13">
        <v>89730</v>
      </c>
    </row>
    <row r="76" spans="1:9" x14ac:dyDescent="0.25">
      <c r="A76" s="4" t="s">
        <v>116</v>
      </c>
      <c r="B76" s="4" t="s">
        <v>842</v>
      </c>
      <c r="C76" s="4" t="s">
        <v>29</v>
      </c>
      <c r="D76" s="12">
        <v>324</v>
      </c>
      <c r="E76" s="12">
        <v>291</v>
      </c>
      <c r="F76" s="24">
        <v>345.94</v>
      </c>
      <c r="G76" s="13">
        <f t="shared" si="2"/>
        <v>112084.56</v>
      </c>
      <c r="H76" s="14">
        <v>1</v>
      </c>
      <c r="I76" s="13">
        <v>109653</v>
      </c>
    </row>
    <row r="77" spans="1:9" x14ac:dyDescent="0.25">
      <c r="A77" s="4" t="s">
        <v>117</v>
      </c>
      <c r="B77" s="4" t="s">
        <v>829</v>
      </c>
      <c r="C77" s="4" t="s">
        <v>29</v>
      </c>
      <c r="D77" s="12">
        <v>754</v>
      </c>
      <c r="E77" s="12">
        <v>576</v>
      </c>
      <c r="F77" s="24">
        <v>336.1</v>
      </c>
      <c r="G77" s="13">
        <f t="shared" si="2"/>
        <v>253419.40000000002</v>
      </c>
      <c r="H77" s="14">
        <v>0.81</v>
      </c>
      <c r="I77" s="13">
        <v>217615</v>
      </c>
    </row>
    <row r="78" spans="1:9" x14ac:dyDescent="0.25">
      <c r="A78" s="4" t="s">
        <v>118</v>
      </c>
      <c r="B78" s="4" t="s">
        <v>835</v>
      </c>
      <c r="C78" s="4" t="s">
        <v>29</v>
      </c>
      <c r="D78" s="12">
        <v>776</v>
      </c>
      <c r="E78" s="12">
        <v>698</v>
      </c>
      <c r="F78" s="24">
        <v>327.37</v>
      </c>
      <c r="G78" s="13">
        <f t="shared" si="2"/>
        <v>254039.12</v>
      </c>
      <c r="H78" s="14">
        <v>1</v>
      </c>
      <c r="I78" s="13">
        <v>228635</v>
      </c>
    </row>
    <row r="79" spans="1:9" x14ac:dyDescent="0.25">
      <c r="A79" s="4" t="s">
        <v>119</v>
      </c>
      <c r="B79" s="4" t="s">
        <v>862</v>
      </c>
      <c r="C79" s="4" t="s">
        <v>27</v>
      </c>
      <c r="D79" s="12">
        <v>1038</v>
      </c>
      <c r="E79" s="12">
        <v>963</v>
      </c>
      <c r="F79" s="24">
        <v>24.13</v>
      </c>
      <c r="G79" s="13">
        <f t="shared" si="2"/>
        <v>25046.94</v>
      </c>
      <c r="H79" s="14">
        <v>1</v>
      </c>
      <c r="I79" s="13">
        <v>25146</v>
      </c>
    </row>
    <row r="80" spans="1:9" x14ac:dyDescent="0.25">
      <c r="A80" s="4" t="s">
        <v>120</v>
      </c>
      <c r="B80" s="4" t="s">
        <v>851</v>
      </c>
      <c r="C80" s="4" t="s">
        <v>29</v>
      </c>
      <c r="D80" s="12">
        <v>2233</v>
      </c>
      <c r="E80" s="12">
        <v>1926</v>
      </c>
      <c r="F80" s="24">
        <v>8.42</v>
      </c>
      <c r="G80" s="13">
        <f t="shared" si="2"/>
        <v>18801.86</v>
      </c>
      <c r="H80" s="14">
        <v>1</v>
      </c>
      <c r="I80" s="13">
        <v>15517</v>
      </c>
    </row>
    <row r="81" spans="1:9" x14ac:dyDescent="0.25">
      <c r="A81" s="4" t="s">
        <v>121</v>
      </c>
      <c r="B81" s="4" t="s">
        <v>831</v>
      </c>
      <c r="C81" s="4" t="s">
        <v>29</v>
      </c>
      <c r="D81" s="12">
        <v>5813</v>
      </c>
      <c r="E81" s="12">
        <v>4816</v>
      </c>
      <c r="F81" s="24">
        <v>9.9</v>
      </c>
      <c r="G81" s="13">
        <f t="shared" si="2"/>
        <v>57548.700000000004</v>
      </c>
      <c r="H81" s="14">
        <v>0.89</v>
      </c>
      <c r="I81" s="13">
        <v>45510</v>
      </c>
    </row>
    <row r="82" spans="1:9" x14ac:dyDescent="0.25">
      <c r="A82" s="4" t="s">
        <v>122</v>
      </c>
      <c r="B82" s="4" t="s">
        <v>848</v>
      </c>
      <c r="C82" s="4" t="s">
        <v>45</v>
      </c>
      <c r="D82" s="12">
        <v>18766</v>
      </c>
      <c r="E82" s="12">
        <v>14447</v>
      </c>
      <c r="F82" s="24">
        <v>2.9</v>
      </c>
      <c r="G82" s="13">
        <f t="shared" si="2"/>
        <v>54421.4</v>
      </c>
      <c r="H82" s="14">
        <v>0.84</v>
      </c>
      <c r="I82" s="13">
        <v>43041</v>
      </c>
    </row>
    <row r="83" spans="1:9" x14ac:dyDescent="0.25">
      <c r="A83" s="4" t="s">
        <v>123</v>
      </c>
      <c r="B83" s="4" t="s">
        <v>859</v>
      </c>
      <c r="C83" s="4" t="s">
        <v>29</v>
      </c>
      <c r="D83" s="12">
        <v>6126</v>
      </c>
      <c r="E83" s="12">
        <v>4887</v>
      </c>
      <c r="F83" s="24">
        <v>5.88</v>
      </c>
      <c r="G83" s="13">
        <f t="shared" si="2"/>
        <v>36020.879999999997</v>
      </c>
      <c r="H83" s="14">
        <v>0.94</v>
      </c>
      <c r="I83" s="13">
        <v>28179</v>
      </c>
    </row>
    <row r="84" spans="1:9" x14ac:dyDescent="0.25">
      <c r="A84" s="4" t="s">
        <v>124</v>
      </c>
      <c r="B84" s="4" t="s">
        <v>834</v>
      </c>
      <c r="C84" s="4" t="s">
        <v>29</v>
      </c>
      <c r="D84" s="12">
        <v>190</v>
      </c>
      <c r="E84" s="12">
        <v>167</v>
      </c>
      <c r="F84" s="24">
        <v>296.36</v>
      </c>
      <c r="G84" s="13">
        <f t="shared" si="2"/>
        <v>56308.4</v>
      </c>
      <c r="H84" s="14">
        <v>0.99</v>
      </c>
      <c r="I84" s="13">
        <v>49807</v>
      </c>
    </row>
    <row r="85" spans="1:9" x14ac:dyDescent="0.25">
      <c r="A85" s="4" t="s">
        <v>125</v>
      </c>
      <c r="B85" s="4" t="s">
        <v>865</v>
      </c>
      <c r="C85" s="4" t="s">
        <v>45</v>
      </c>
      <c r="D85" s="12">
        <v>14590</v>
      </c>
      <c r="E85" s="12">
        <v>12080</v>
      </c>
      <c r="F85" s="24">
        <v>2.0499999999999998</v>
      </c>
      <c r="G85" s="13">
        <f t="shared" si="2"/>
        <v>29909.499999999996</v>
      </c>
      <c r="H85" s="14">
        <v>0.98</v>
      </c>
      <c r="I85" s="13">
        <v>24848</v>
      </c>
    </row>
    <row r="86" spans="1:9" x14ac:dyDescent="0.25">
      <c r="A86" s="4" t="s">
        <v>126</v>
      </c>
      <c r="B86" s="4" t="s">
        <v>838</v>
      </c>
      <c r="C86" s="4" t="s">
        <v>27</v>
      </c>
      <c r="D86" s="12">
        <v>2276</v>
      </c>
      <c r="E86" s="12">
        <v>2184</v>
      </c>
      <c r="F86" s="24">
        <v>25.54</v>
      </c>
      <c r="G86" s="13">
        <f t="shared" si="2"/>
        <v>58129.04</v>
      </c>
      <c r="H86" s="14">
        <v>1</v>
      </c>
      <c r="I86" s="13">
        <v>60679</v>
      </c>
    </row>
    <row r="87" spans="1:9" x14ac:dyDescent="0.25">
      <c r="A87" s="4" t="s">
        <v>127</v>
      </c>
      <c r="B87" s="4" t="s">
        <v>848</v>
      </c>
      <c r="C87" s="4" t="s">
        <v>45</v>
      </c>
      <c r="D87" s="12">
        <v>38876</v>
      </c>
      <c r="E87" s="12">
        <v>33457</v>
      </c>
      <c r="F87" s="24">
        <v>2.13</v>
      </c>
      <c r="G87" s="13">
        <f t="shared" si="2"/>
        <v>82805.87999999999</v>
      </c>
      <c r="H87" s="14">
        <v>0.92</v>
      </c>
      <c r="I87" s="13">
        <v>70147</v>
      </c>
    </row>
    <row r="88" spans="1:9" x14ac:dyDescent="0.25">
      <c r="A88" s="4" t="s">
        <v>128</v>
      </c>
      <c r="B88" s="4" t="s">
        <v>852</v>
      </c>
      <c r="C88" s="4" t="s">
        <v>29</v>
      </c>
      <c r="D88" s="12">
        <v>642</v>
      </c>
      <c r="E88" s="12">
        <v>494</v>
      </c>
      <c r="F88" s="24">
        <v>187.82</v>
      </c>
      <c r="G88" s="13">
        <f t="shared" si="2"/>
        <v>120580.44</v>
      </c>
      <c r="H88" s="14">
        <v>0.82</v>
      </c>
      <c r="I88" s="13">
        <v>89264</v>
      </c>
    </row>
    <row r="89" spans="1:9" x14ac:dyDescent="0.25">
      <c r="A89" s="4" t="s">
        <v>129</v>
      </c>
      <c r="B89" s="4" t="s">
        <v>866</v>
      </c>
      <c r="C89" s="4" t="s">
        <v>29</v>
      </c>
      <c r="D89" s="12">
        <v>773</v>
      </c>
      <c r="E89" s="12">
        <v>661</v>
      </c>
      <c r="F89" s="24">
        <v>235.7</v>
      </c>
      <c r="G89" s="13">
        <f t="shared" si="2"/>
        <v>182196.09999999998</v>
      </c>
      <c r="H89" s="14">
        <v>1</v>
      </c>
      <c r="I89" s="13">
        <v>154473</v>
      </c>
    </row>
    <row r="90" spans="1:9" x14ac:dyDescent="0.25">
      <c r="A90" s="4" t="s">
        <v>130</v>
      </c>
      <c r="B90" s="4" t="s">
        <v>829</v>
      </c>
      <c r="C90" s="4" t="s">
        <v>29</v>
      </c>
      <c r="D90" s="12">
        <v>294</v>
      </c>
      <c r="E90" s="12">
        <v>262</v>
      </c>
      <c r="F90" s="24">
        <v>288.02999999999997</v>
      </c>
      <c r="G90" s="13">
        <f t="shared" si="2"/>
        <v>84680.819999999992</v>
      </c>
      <c r="H90" s="14">
        <v>1</v>
      </c>
      <c r="I90" s="13">
        <v>78801</v>
      </c>
    </row>
    <row r="91" spans="1:9" x14ac:dyDescent="0.25">
      <c r="A91" s="4" t="s">
        <v>131</v>
      </c>
      <c r="B91" s="4" t="s">
        <v>867</v>
      </c>
      <c r="C91" s="4" t="s">
        <v>29</v>
      </c>
      <c r="D91" s="12">
        <v>6058</v>
      </c>
      <c r="E91" s="12">
        <v>5119</v>
      </c>
      <c r="F91" s="24">
        <v>6.5</v>
      </c>
      <c r="G91" s="13">
        <f t="shared" si="2"/>
        <v>39377</v>
      </c>
      <c r="H91" s="14">
        <v>1</v>
      </c>
      <c r="I91" s="13">
        <v>36917</v>
      </c>
    </row>
    <row r="92" spans="1:9" x14ac:dyDescent="0.25">
      <c r="A92" s="4" t="s">
        <v>132</v>
      </c>
      <c r="B92" s="4" t="s">
        <v>860</v>
      </c>
      <c r="C92" s="4" t="s">
        <v>29</v>
      </c>
      <c r="D92" s="12">
        <v>663</v>
      </c>
      <c r="E92" s="12">
        <v>548</v>
      </c>
      <c r="F92" s="24">
        <v>247.63</v>
      </c>
      <c r="G92" s="13">
        <f t="shared" si="2"/>
        <v>164178.69</v>
      </c>
      <c r="H92" s="14">
        <v>1</v>
      </c>
      <c r="I92" s="13">
        <v>129168</v>
      </c>
    </row>
    <row r="93" spans="1:9" x14ac:dyDescent="0.25">
      <c r="A93" s="4" t="s">
        <v>133</v>
      </c>
      <c r="B93" s="4" t="s">
        <v>837</v>
      </c>
      <c r="C93" s="4" t="s">
        <v>29</v>
      </c>
      <c r="D93" s="12">
        <v>178</v>
      </c>
      <c r="E93" s="12">
        <v>137</v>
      </c>
      <c r="F93" s="24">
        <v>213.43</v>
      </c>
      <c r="G93" s="13">
        <f t="shared" si="2"/>
        <v>37990.54</v>
      </c>
      <c r="H93" s="14">
        <v>0.92</v>
      </c>
      <c r="I93" s="13">
        <v>29538</v>
      </c>
    </row>
    <row r="94" spans="1:9" x14ac:dyDescent="0.25">
      <c r="A94" s="4" t="s">
        <v>134</v>
      </c>
      <c r="B94" s="4" t="s">
        <v>863</v>
      </c>
      <c r="C94" s="4" t="s">
        <v>29</v>
      </c>
      <c r="D94" s="12">
        <v>14652</v>
      </c>
      <c r="E94" s="12">
        <v>11706</v>
      </c>
      <c r="F94" s="24">
        <v>5.38</v>
      </c>
      <c r="G94" s="13">
        <f t="shared" si="2"/>
        <v>78827.759999999995</v>
      </c>
      <c r="H94" s="14">
        <v>0.93</v>
      </c>
      <c r="I94" s="13">
        <v>63578</v>
      </c>
    </row>
    <row r="95" spans="1:9" x14ac:dyDescent="0.25">
      <c r="A95" s="4" t="s">
        <v>135</v>
      </c>
      <c r="B95" s="4" t="s">
        <v>860</v>
      </c>
      <c r="C95" s="4" t="s">
        <v>29</v>
      </c>
      <c r="D95" s="12">
        <v>148</v>
      </c>
      <c r="E95" s="12">
        <v>128</v>
      </c>
      <c r="F95" s="24">
        <v>270.43</v>
      </c>
      <c r="G95" s="13">
        <f t="shared" si="2"/>
        <v>40023.64</v>
      </c>
      <c r="H95" s="14">
        <v>0.96</v>
      </c>
      <c r="I95" s="13">
        <v>38041</v>
      </c>
    </row>
    <row r="96" spans="1:9" x14ac:dyDescent="0.25">
      <c r="A96" s="4" t="s">
        <v>136</v>
      </c>
      <c r="B96" s="4" t="s">
        <v>858</v>
      </c>
      <c r="C96" s="4" t="s">
        <v>27</v>
      </c>
      <c r="D96" s="12">
        <v>1933</v>
      </c>
      <c r="E96" s="12">
        <v>1806</v>
      </c>
      <c r="F96" s="24">
        <v>48.52</v>
      </c>
      <c r="G96" s="13">
        <f t="shared" si="2"/>
        <v>93789.16</v>
      </c>
      <c r="H96" s="14">
        <v>1</v>
      </c>
      <c r="I96" s="13">
        <v>83402</v>
      </c>
    </row>
    <row r="97" spans="1:9" x14ac:dyDescent="0.25">
      <c r="A97" s="4" t="s">
        <v>137</v>
      </c>
      <c r="B97" s="4" t="s">
        <v>868</v>
      </c>
      <c r="C97" s="4" t="s">
        <v>32</v>
      </c>
      <c r="D97" s="12">
        <v>2397</v>
      </c>
      <c r="E97" s="12">
        <v>2176</v>
      </c>
      <c r="F97" s="24">
        <v>32.799999999999997</v>
      </c>
      <c r="G97" s="13">
        <f t="shared" si="2"/>
        <v>78621.599999999991</v>
      </c>
      <c r="H97" s="14">
        <v>0.99</v>
      </c>
      <c r="I97" s="13">
        <v>76648</v>
      </c>
    </row>
    <row r="98" spans="1:9" x14ac:dyDescent="0.25">
      <c r="A98" s="4" t="s">
        <v>138</v>
      </c>
      <c r="B98" s="4" t="s">
        <v>864</v>
      </c>
      <c r="C98" s="4" t="s">
        <v>27</v>
      </c>
      <c r="D98" s="12">
        <v>2681</v>
      </c>
      <c r="E98" s="12">
        <v>2430</v>
      </c>
      <c r="F98" s="24">
        <v>47.05</v>
      </c>
      <c r="G98" s="13">
        <f t="shared" si="2"/>
        <v>126141.04999999999</v>
      </c>
      <c r="H98" s="14">
        <v>1</v>
      </c>
      <c r="I98" s="13">
        <v>120303</v>
      </c>
    </row>
    <row r="99" spans="1:9" x14ac:dyDescent="0.25">
      <c r="A99" s="4" t="s">
        <v>139</v>
      </c>
      <c r="B99" s="4" t="s">
        <v>837</v>
      </c>
      <c r="C99" s="4" t="s">
        <v>29</v>
      </c>
      <c r="D99" s="12">
        <v>373</v>
      </c>
      <c r="E99" s="12">
        <v>315</v>
      </c>
      <c r="F99" s="24">
        <v>263.66000000000003</v>
      </c>
      <c r="G99" s="13">
        <f t="shared" si="2"/>
        <v>98345.180000000008</v>
      </c>
      <c r="H99" s="14">
        <v>0.96</v>
      </c>
      <c r="I99" s="13">
        <v>88212</v>
      </c>
    </row>
    <row r="100" spans="1:9" x14ac:dyDescent="0.25">
      <c r="A100" s="4" t="s">
        <v>140</v>
      </c>
      <c r="B100" s="4" t="s">
        <v>869</v>
      </c>
      <c r="C100" s="4" t="s">
        <v>29</v>
      </c>
      <c r="D100" s="12">
        <v>327</v>
      </c>
      <c r="E100" s="12">
        <v>311</v>
      </c>
      <c r="F100" s="24">
        <v>279.35000000000002</v>
      </c>
      <c r="G100" s="13">
        <f t="shared" si="2"/>
        <v>91347.450000000012</v>
      </c>
      <c r="H100" s="14">
        <v>1</v>
      </c>
      <c r="I100" s="13">
        <v>82512</v>
      </c>
    </row>
    <row r="101" spans="1:9" x14ac:dyDescent="0.25">
      <c r="A101" s="4" t="s">
        <v>141</v>
      </c>
      <c r="B101" s="4" t="s">
        <v>870</v>
      </c>
      <c r="C101" s="4" t="s">
        <v>45</v>
      </c>
      <c r="D101" s="12">
        <v>13970</v>
      </c>
      <c r="E101" s="12">
        <v>11158</v>
      </c>
      <c r="F101" s="24">
        <v>2.42</v>
      </c>
      <c r="G101" s="13">
        <f t="shared" ref="G101:G132" si="3">D101*F101</f>
        <v>33807.4</v>
      </c>
      <c r="H101" s="14">
        <v>0.85</v>
      </c>
      <c r="I101" s="13">
        <v>30119</v>
      </c>
    </row>
    <row r="102" spans="1:9" x14ac:dyDescent="0.25">
      <c r="A102" s="4" t="s">
        <v>142</v>
      </c>
      <c r="B102" s="4" t="s">
        <v>853</v>
      </c>
      <c r="C102" s="4" t="s">
        <v>29</v>
      </c>
      <c r="D102" s="12">
        <v>6998</v>
      </c>
      <c r="E102" s="12">
        <v>6308</v>
      </c>
      <c r="F102" s="24">
        <v>7.38</v>
      </c>
      <c r="G102" s="13">
        <f t="shared" si="3"/>
        <v>51645.24</v>
      </c>
      <c r="H102" s="14">
        <v>1</v>
      </c>
      <c r="I102" s="13">
        <v>44938</v>
      </c>
    </row>
    <row r="103" spans="1:9" x14ac:dyDescent="0.25">
      <c r="A103" s="4" t="s">
        <v>143</v>
      </c>
      <c r="B103" s="4" t="s">
        <v>824</v>
      </c>
      <c r="C103" s="4" t="s">
        <v>29</v>
      </c>
      <c r="D103" s="12">
        <v>211</v>
      </c>
      <c r="E103" s="12">
        <v>176</v>
      </c>
      <c r="F103" s="24">
        <v>293.77</v>
      </c>
      <c r="G103" s="13">
        <f t="shared" si="3"/>
        <v>61985.469999999994</v>
      </c>
      <c r="H103" s="14">
        <v>1</v>
      </c>
      <c r="I103" s="13">
        <v>51942</v>
      </c>
    </row>
    <row r="104" spans="1:9" x14ac:dyDescent="0.25">
      <c r="A104" s="4" t="s">
        <v>144</v>
      </c>
      <c r="B104" s="4" t="s">
        <v>871</v>
      </c>
      <c r="C104" s="4" t="s">
        <v>29</v>
      </c>
      <c r="D104" s="12">
        <v>883</v>
      </c>
      <c r="E104" s="12">
        <v>672</v>
      </c>
      <c r="F104" s="24">
        <v>306.97000000000003</v>
      </c>
      <c r="G104" s="13">
        <f t="shared" si="3"/>
        <v>271054.51</v>
      </c>
      <c r="H104" s="14">
        <v>0.92</v>
      </c>
      <c r="I104" s="13">
        <v>208097</v>
      </c>
    </row>
    <row r="105" spans="1:9" x14ac:dyDescent="0.25">
      <c r="A105" s="4" t="s">
        <v>145</v>
      </c>
      <c r="B105" s="4" t="s">
        <v>835</v>
      </c>
      <c r="C105" s="4" t="s">
        <v>29</v>
      </c>
      <c r="D105" s="12">
        <v>409</v>
      </c>
      <c r="E105" s="12">
        <v>377</v>
      </c>
      <c r="F105" s="24">
        <v>333.65</v>
      </c>
      <c r="G105" s="13">
        <f t="shared" si="3"/>
        <v>136462.84999999998</v>
      </c>
      <c r="H105" s="14">
        <v>1</v>
      </c>
      <c r="I105" s="13">
        <v>126029</v>
      </c>
    </row>
    <row r="106" spans="1:9" x14ac:dyDescent="0.25">
      <c r="A106" s="4" t="s">
        <v>146</v>
      </c>
      <c r="B106" s="4" t="s">
        <v>854</v>
      </c>
      <c r="C106" s="4" t="s">
        <v>29</v>
      </c>
      <c r="D106" s="12">
        <v>64</v>
      </c>
      <c r="E106" s="12">
        <v>53</v>
      </c>
      <c r="F106" s="24">
        <v>304.41000000000003</v>
      </c>
      <c r="G106" s="13">
        <f t="shared" si="3"/>
        <v>19482.240000000002</v>
      </c>
      <c r="H106" s="14">
        <v>0.98</v>
      </c>
      <c r="I106" s="13">
        <v>15922</v>
      </c>
    </row>
    <row r="107" spans="1:9" x14ac:dyDescent="0.25">
      <c r="A107" s="4" t="s">
        <v>147</v>
      </c>
      <c r="B107" s="4" t="s">
        <v>866</v>
      </c>
      <c r="C107" s="4" t="s">
        <v>29</v>
      </c>
      <c r="D107" s="12">
        <v>833</v>
      </c>
      <c r="E107" s="12">
        <v>749</v>
      </c>
      <c r="F107" s="24">
        <v>328.03</v>
      </c>
      <c r="G107" s="13">
        <f t="shared" si="3"/>
        <v>273248.99</v>
      </c>
      <c r="H107" s="14">
        <v>1</v>
      </c>
      <c r="I107" s="13">
        <v>271317</v>
      </c>
    </row>
    <row r="108" spans="1:9" x14ac:dyDescent="0.25">
      <c r="A108" s="4" t="s">
        <v>148</v>
      </c>
      <c r="B108" s="4" t="s">
        <v>844</v>
      </c>
      <c r="C108" s="4" t="s">
        <v>45</v>
      </c>
      <c r="D108" s="12">
        <v>39790</v>
      </c>
      <c r="E108" s="12">
        <v>39258</v>
      </c>
      <c r="F108" s="24">
        <v>2.4300000000000002</v>
      </c>
      <c r="G108" s="13">
        <f t="shared" si="3"/>
        <v>96689.700000000012</v>
      </c>
      <c r="H108" s="14">
        <v>1</v>
      </c>
      <c r="I108" s="13">
        <v>106888</v>
      </c>
    </row>
    <row r="109" spans="1:9" x14ac:dyDescent="0.25">
      <c r="A109" s="4" t="s">
        <v>149</v>
      </c>
      <c r="B109" s="4" t="s">
        <v>830</v>
      </c>
      <c r="C109" s="4" t="s">
        <v>29</v>
      </c>
      <c r="D109" s="12">
        <v>131</v>
      </c>
      <c r="E109" s="12">
        <v>100</v>
      </c>
      <c r="F109" s="24">
        <v>295.52999999999997</v>
      </c>
      <c r="G109" s="13">
        <f t="shared" si="3"/>
        <v>38714.429999999993</v>
      </c>
      <c r="H109" s="14">
        <v>0.94</v>
      </c>
      <c r="I109" s="13">
        <v>33122</v>
      </c>
    </row>
    <row r="110" spans="1:9" x14ac:dyDescent="0.25">
      <c r="A110" s="4" t="s">
        <v>150</v>
      </c>
      <c r="B110" s="4" t="s">
        <v>872</v>
      </c>
      <c r="C110" s="4" t="s">
        <v>27</v>
      </c>
      <c r="D110" s="12">
        <v>479</v>
      </c>
      <c r="E110" s="12">
        <v>372</v>
      </c>
      <c r="F110" s="24">
        <v>21.52</v>
      </c>
      <c r="G110" s="13">
        <f t="shared" si="3"/>
        <v>10308.08</v>
      </c>
      <c r="H110" s="14">
        <v>0.93</v>
      </c>
      <c r="I110" s="13">
        <v>8423</v>
      </c>
    </row>
    <row r="111" spans="1:9" x14ac:dyDescent="0.25">
      <c r="A111" s="4" t="s">
        <v>151</v>
      </c>
      <c r="B111" s="4" t="s">
        <v>832</v>
      </c>
      <c r="C111" s="4" t="s">
        <v>27</v>
      </c>
      <c r="D111" s="12">
        <v>3480</v>
      </c>
      <c r="E111" s="12">
        <v>3015</v>
      </c>
      <c r="F111" s="24">
        <v>37.479999999999997</v>
      </c>
      <c r="G111" s="13">
        <f t="shared" si="3"/>
        <v>130430.39999999999</v>
      </c>
      <c r="H111" s="14">
        <v>1</v>
      </c>
      <c r="I111" s="13">
        <v>126396</v>
      </c>
    </row>
    <row r="112" spans="1:9" x14ac:dyDescent="0.25">
      <c r="A112" s="4" t="s">
        <v>152</v>
      </c>
      <c r="B112" s="4" t="s">
        <v>860</v>
      </c>
      <c r="C112" s="4" t="s">
        <v>29</v>
      </c>
      <c r="D112" s="12">
        <v>758</v>
      </c>
      <c r="E112" s="12">
        <v>718</v>
      </c>
      <c r="F112" s="24">
        <v>218.66</v>
      </c>
      <c r="G112" s="13">
        <f t="shared" si="3"/>
        <v>165744.28</v>
      </c>
      <c r="H112" s="14">
        <v>1</v>
      </c>
      <c r="I112" s="13">
        <v>155239</v>
      </c>
    </row>
    <row r="113" spans="1:9" x14ac:dyDescent="0.25">
      <c r="A113" s="4" t="s">
        <v>153</v>
      </c>
      <c r="B113" s="4" t="s">
        <v>853</v>
      </c>
      <c r="C113" s="4" t="s">
        <v>29</v>
      </c>
      <c r="D113" s="12">
        <v>7958</v>
      </c>
      <c r="E113" s="12">
        <v>7590</v>
      </c>
      <c r="F113" s="24">
        <v>7.32</v>
      </c>
      <c r="G113" s="13">
        <f t="shared" si="3"/>
        <v>58252.560000000005</v>
      </c>
      <c r="H113" s="14">
        <v>1</v>
      </c>
      <c r="I113" s="13">
        <v>56901</v>
      </c>
    </row>
    <row r="114" spans="1:9" x14ac:dyDescent="0.25">
      <c r="A114" s="4" t="s">
        <v>154</v>
      </c>
      <c r="B114" s="4" t="s">
        <v>831</v>
      </c>
      <c r="C114" s="4" t="s">
        <v>29</v>
      </c>
      <c r="D114" s="12">
        <v>3675</v>
      </c>
      <c r="E114" s="12">
        <v>3212</v>
      </c>
      <c r="F114" s="24">
        <v>7.54</v>
      </c>
      <c r="G114" s="13">
        <f t="shared" si="3"/>
        <v>27709.5</v>
      </c>
      <c r="H114" s="14">
        <v>0.92</v>
      </c>
      <c r="I114" s="13">
        <v>27114</v>
      </c>
    </row>
    <row r="115" spans="1:9" x14ac:dyDescent="0.25">
      <c r="A115" s="4" t="s">
        <v>155</v>
      </c>
      <c r="B115" s="4" t="s">
        <v>855</v>
      </c>
      <c r="C115" s="4" t="s">
        <v>45</v>
      </c>
      <c r="D115" s="12">
        <v>57530</v>
      </c>
      <c r="E115" s="12">
        <v>56538</v>
      </c>
      <c r="F115" s="24">
        <v>1.33</v>
      </c>
      <c r="G115" s="13">
        <f t="shared" si="3"/>
        <v>76514.900000000009</v>
      </c>
      <c r="H115" s="14">
        <v>1</v>
      </c>
      <c r="I115" s="13">
        <v>84167</v>
      </c>
    </row>
    <row r="116" spans="1:9" x14ac:dyDescent="0.25">
      <c r="A116" s="4" t="s">
        <v>156</v>
      </c>
      <c r="B116" s="4" t="s">
        <v>846</v>
      </c>
      <c r="C116" s="4" t="s">
        <v>45</v>
      </c>
      <c r="D116" s="12">
        <v>34604</v>
      </c>
      <c r="E116" s="12">
        <v>28577</v>
      </c>
      <c r="F116" s="24">
        <v>1.35</v>
      </c>
      <c r="G116" s="13">
        <f t="shared" si="3"/>
        <v>46715.4</v>
      </c>
      <c r="H116" s="14">
        <v>0.98</v>
      </c>
      <c r="I116" s="13">
        <v>39353</v>
      </c>
    </row>
    <row r="117" spans="1:9" x14ac:dyDescent="0.25">
      <c r="A117" s="4" t="s">
        <v>157</v>
      </c>
      <c r="B117" s="4" t="s">
        <v>873</v>
      </c>
      <c r="C117" s="4" t="s">
        <v>32</v>
      </c>
      <c r="D117" s="12">
        <v>2325</v>
      </c>
      <c r="E117" s="12">
        <v>1832</v>
      </c>
      <c r="F117" s="24">
        <v>45.21</v>
      </c>
      <c r="G117" s="13">
        <f t="shared" si="3"/>
        <v>105113.25</v>
      </c>
      <c r="H117" s="14">
        <v>0.87</v>
      </c>
      <c r="I117" s="13">
        <v>82001</v>
      </c>
    </row>
    <row r="118" spans="1:9" x14ac:dyDescent="0.25">
      <c r="A118" s="4" t="s">
        <v>158</v>
      </c>
      <c r="B118" s="4" t="s">
        <v>861</v>
      </c>
      <c r="C118" s="4" t="s">
        <v>45</v>
      </c>
      <c r="D118" s="12">
        <v>11770</v>
      </c>
      <c r="E118" s="12">
        <v>11362</v>
      </c>
      <c r="F118" s="24">
        <v>1.83</v>
      </c>
      <c r="G118" s="13">
        <f t="shared" si="3"/>
        <v>21539.100000000002</v>
      </c>
      <c r="H118" s="14">
        <v>1</v>
      </c>
      <c r="I118" s="13">
        <v>20861</v>
      </c>
    </row>
    <row r="119" spans="1:9" x14ac:dyDescent="0.25">
      <c r="A119" s="4" t="s">
        <v>159</v>
      </c>
      <c r="B119" s="4" t="s">
        <v>836</v>
      </c>
      <c r="C119" s="4" t="s">
        <v>45</v>
      </c>
      <c r="D119" s="12">
        <v>10745</v>
      </c>
      <c r="E119" s="12">
        <v>10164</v>
      </c>
      <c r="F119" s="24">
        <v>2.2799999999999998</v>
      </c>
      <c r="G119" s="13">
        <f t="shared" si="3"/>
        <v>24498.6</v>
      </c>
      <c r="H119" s="14">
        <v>1</v>
      </c>
      <c r="I119" s="13">
        <v>23846</v>
      </c>
    </row>
    <row r="120" spans="1:9" x14ac:dyDescent="0.25">
      <c r="A120" s="4" t="s">
        <v>160</v>
      </c>
      <c r="B120" s="4" t="s">
        <v>845</v>
      </c>
      <c r="C120" s="4" t="s">
        <v>29</v>
      </c>
      <c r="D120" s="12">
        <v>8066</v>
      </c>
      <c r="E120" s="12">
        <v>7082</v>
      </c>
      <c r="F120" s="24">
        <v>7.48</v>
      </c>
      <c r="G120" s="13">
        <f t="shared" si="3"/>
        <v>60333.68</v>
      </c>
      <c r="H120" s="14">
        <v>0.98</v>
      </c>
      <c r="I120" s="13">
        <v>51034</v>
      </c>
    </row>
    <row r="121" spans="1:9" x14ac:dyDescent="0.25">
      <c r="A121" s="4" t="s">
        <v>161</v>
      </c>
      <c r="B121" s="4" t="s">
        <v>824</v>
      </c>
      <c r="C121" s="4" t="s">
        <v>29</v>
      </c>
      <c r="D121" s="12">
        <v>57</v>
      </c>
      <c r="E121" s="12">
        <v>45</v>
      </c>
      <c r="F121" s="24">
        <v>289.5</v>
      </c>
      <c r="G121" s="13">
        <f t="shared" si="3"/>
        <v>16501.5</v>
      </c>
      <c r="H121" s="14">
        <v>0.89</v>
      </c>
      <c r="I121" s="13">
        <v>12458</v>
      </c>
    </row>
    <row r="122" spans="1:9" x14ac:dyDescent="0.25">
      <c r="A122" s="4" t="s">
        <v>162</v>
      </c>
      <c r="B122" s="4" t="s">
        <v>858</v>
      </c>
      <c r="C122" s="4" t="s">
        <v>27</v>
      </c>
      <c r="D122" s="12">
        <v>647</v>
      </c>
      <c r="E122" s="12">
        <v>590</v>
      </c>
      <c r="F122" s="24">
        <v>43.45</v>
      </c>
      <c r="G122" s="13">
        <f t="shared" si="3"/>
        <v>28112.15</v>
      </c>
      <c r="H122" s="14">
        <v>1</v>
      </c>
      <c r="I122" s="13">
        <v>26676</v>
      </c>
    </row>
    <row r="123" spans="1:9" x14ac:dyDescent="0.25">
      <c r="A123" s="4" t="s">
        <v>163</v>
      </c>
      <c r="B123" s="4" t="s">
        <v>836</v>
      </c>
      <c r="C123" s="4" t="s">
        <v>45</v>
      </c>
      <c r="D123" s="12">
        <v>23554</v>
      </c>
      <c r="E123" s="12">
        <v>20872</v>
      </c>
      <c r="F123" s="24">
        <v>2.67</v>
      </c>
      <c r="G123" s="13">
        <f t="shared" si="3"/>
        <v>62889.18</v>
      </c>
      <c r="H123" s="14">
        <v>0.95</v>
      </c>
      <c r="I123" s="13">
        <v>53483</v>
      </c>
    </row>
    <row r="124" spans="1:9" x14ac:dyDescent="0.25">
      <c r="A124" s="4" t="s">
        <v>164</v>
      </c>
      <c r="B124" s="4" t="s">
        <v>860</v>
      </c>
      <c r="C124" s="4" t="s">
        <v>29</v>
      </c>
      <c r="D124" s="12">
        <v>846</v>
      </c>
      <c r="E124" s="12">
        <v>725</v>
      </c>
      <c r="F124" s="24">
        <v>212.31</v>
      </c>
      <c r="G124" s="13">
        <f t="shared" si="3"/>
        <v>179614.26</v>
      </c>
      <c r="H124" s="14">
        <v>0.91</v>
      </c>
      <c r="I124" s="13">
        <v>166245</v>
      </c>
    </row>
    <row r="125" spans="1:9" x14ac:dyDescent="0.25">
      <c r="A125" s="4" t="s">
        <v>165</v>
      </c>
      <c r="B125" s="4" t="s">
        <v>866</v>
      </c>
      <c r="C125" s="4" t="s">
        <v>29</v>
      </c>
      <c r="D125" s="12">
        <v>418</v>
      </c>
      <c r="E125" s="12">
        <v>321</v>
      </c>
      <c r="F125" s="24">
        <v>240.88</v>
      </c>
      <c r="G125" s="13">
        <f t="shared" si="3"/>
        <v>100687.84</v>
      </c>
      <c r="H125" s="14">
        <v>0.91</v>
      </c>
      <c r="I125" s="13">
        <v>81301</v>
      </c>
    </row>
    <row r="126" spans="1:9" x14ac:dyDescent="0.25">
      <c r="A126" s="4" t="s">
        <v>166</v>
      </c>
      <c r="B126" s="4" t="s">
        <v>861</v>
      </c>
      <c r="C126" s="4" t="s">
        <v>45</v>
      </c>
      <c r="D126" s="12">
        <v>49200</v>
      </c>
      <c r="E126" s="12">
        <v>39463</v>
      </c>
      <c r="F126" s="24">
        <v>1.46</v>
      </c>
      <c r="G126" s="13">
        <f t="shared" si="3"/>
        <v>71832</v>
      </c>
      <c r="H126" s="14">
        <v>0.91</v>
      </c>
      <c r="I126" s="13">
        <v>57305</v>
      </c>
    </row>
    <row r="127" spans="1:9" x14ac:dyDescent="0.25">
      <c r="A127" s="4" t="s">
        <v>167</v>
      </c>
      <c r="B127" s="4" t="s">
        <v>861</v>
      </c>
      <c r="C127" s="4" t="s">
        <v>45</v>
      </c>
      <c r="D127" s="12">
        <v>37208</v>
      </c>
      <c r="E127" s="12">
        <v>37100</v>
      </c>
      <c r="F127" s="24">
        <v>1.61</v>
      </c>
      <c r="G127" s="13">
        <f t="shared" si="3"/>
        <v>59904.880000000005</v>
      </c>
      <c r="H127" s="14">
        <v>1</v>
      </c>
      <c r="I127" s="13">
        <v>65554</v>
      </c>
    </row>
    <row r="128" spans="1:9" x14ac:dyDescent="0.25">
      <c r="A128" s="4" t="s">
        <v>168</v>
      </c>
      <c r="B128" s="4" t="s">
        <v>847</v>
      </c>
      <c r="C128" s="4" t="s">
        <v>45</v>
      </c>
      <c r="D128" s="12">
        <v>30741</v>
      </c>
      <c r="E128" s="12">
        <v>30527</v>
      </c>
      <c r="F128" s="24">
        <v>1.84</v>
      </c>
      <c r="G128" s="13">
        <f t="shared" si="3"/>
        <v>56563.44</v>
      </c>
      <c r="H128" s="14">
        <v>1</v>
      </c>
      <c r="I128" s="13">
        <v>53086</v>
      </c>
    </row>
    <row r="129" spans="1:9" x14ac:dyDescent="0.25">
      <c r="A129" s="4" t="s">
        <v>169</v>
      </c>
      <c r="B129" s="4" t="s">
        <v>859</v>
      </c>
      <c r="C129" s="4" t="s">
        <v>29</v>
      </c>
      <c r="D129" s="12">
        <v>2251</v>
      </c>
      <c r="E129" s="12">
        <v>1786</v>
      </c>
      <c r="F129" s="24">
        <v>5.03</v>
      </c>
      <c r="G129" s="13">
        <f t="shared" si="3"/>
        <v>11322.53</v>
      </c>
      <c r="H129" s="14">
        <v>0.85</v>
      </c>
      <c r="I129" s="13">
        <v>8655</v>
      </c>
    </row>
    <row r="130" spans="1:9" x14ac:dyDescent="0.25">
      <c r="A130" s="4" t="s">
        <v>170</v>
      </c>
      <c r="B130" s="4" t="s">
        <v>869</v>
      </c>
      <c r="C130" s="4" t="s">
        <v>29</v>
      </c>
      <c r="D130" s="12">
        <v>314</v>
      </c>
      <c r="E130" s="12">
        <v>272</v>
      </c>
      <c r="F130" s="24">
        <v>243.04</v>
      </c>
      <c r="G130" s="13">
        <f t="shared" si="3"/>
        <v>76314.559999999998</v>
      </c>
      <c r="H130" s="14">
        <v>1</v>
      </c>
      <c r="I130" s="13">
        <v>63870</v>
      </c>
    </row>
    <row r="131" spans="1:9" x14ac:dyDescent="0.25">
      <c r="A131" s="4" t="s">
        <v>171</v>
      </c>
      <c r="B131" s="4" t="s">
        <v>840</v>
      </c>
      <c r="C131" s="4" t="s">
        <v>27</v>
      </c>
      <c r="D131" s="12">
        <v>1035</v>
      </c>
      <c r="E131" s="12">
        <v>837</v>
      </c>
      <c r="F131" s="24">
        <v>49.37</v>
      </c>
      <c r="G131" s="13">
        <f t="shared" si="3"/>
        <v>51097.95</v>
      </c>
      <c r="H131" s="14">
        <v>0.93</v>
      </c>
      <c r="I131" s="13">
        <v>42914</v>
      </c>
    </row>
    <row r="132" spans="1:9" x14ac:dyDescent="0.25">
      <c r="A132" s="4" t="s">
        <v>172</v>
      </c>
      <c r="B132" s="4" t="s">
        <v>844</v>
      </c>
      <c r="C132" s="4" t="s">
        <v>45</v>
      </c>
      <c r="D132" s="12">
        <v>38440</v>
      </c>
      <c r="E132" s="12">
        <v>36267</v>
      </c>
      <c r="F132" s="24">
        <v>2.59</v>
      </c>
      <c r="G132" s="13">
        <f t="shared" si="3"/>
        <v>99559.599999999991</v>
      </c>
      <c r="H132" s="14">
        <v>1</v>
      </c>
      <c r="I132" s="13">
        <v>100132</v>
      </c>
    </row>
    <row r="133" spans="1:9" x14ac:dyDescent="0.25">
      <c r="A133" s="4" t="s">
        <v>173</v>
      </c>
      <c r="B133" s="4" t="s">
        <v>869</v>
      </c>
      <c r="C133" s="4" t="s">
        <v>29</v>
      </c>
      <c r="D133" s="12">
        <v>435</v>
      </c>
      <c r="E133" s="12">
        <v>411</v>
      </c>
      <c r="F133" s="24">
        <v>262.38</v>
      </c>
      <c r="G133" s="13">
        <f t="shared" ref="G133:G164" si="4">D133*F133</f>
        <v>114135.3</v>
      </c>
      <c r="H133" s="14">
        <v>1</v>
      </c>
      <c r="I133" s="13">
        <v>117587</v>
      </c>
    </row>
    <row r="134" spans="1:9" x14ac:dyDescent="0.25">
      <c r="A134" s="4" t="s">
        <v>174</v>
      </c>
      <c r="B134" s="4" t="s">
        <v>874</v>
      </c>
      <c r="C134" s="4" t="s">
        <v>27</v>
      </c>
      <c r="D134" s="12">
        <v>1213</v>
      </c>
      <c r="E134" s="12">
        <v>994</v>
      </c>
      <c r="F134" s="24">
        <v>27.64</v>
      </c>
      <c r="G134" s="13">
        <f t="shared" si="4"/>
        <v>33527.32</v>
      </c>
      <c r="H134" s="14">
        <v>0.9</v>
      </c>
      <c r="I134" s="13">
        <v>28925</v>
      </c>
    </row>
    <row r="135" spans="1:9" x14ac:dyDescent="0.25">
      <c r="A135" s="4" t="s">
        <v>175</v>
      </c>
      <c r="B135" s="4" t="s">
        <v>842</v>
      </c>
      <c r="C135" s="4" t="s">
        <v>29</v>
      </c>
      <c r="D135" s="12">
        <v>564</v>
      </c>
      <c r="E135" s="12">
        <v>459</v>
      </c>
      <c r="F135" s="24">
        <v>345.53</v>
      </c>
      <c r="G135" s="13">
        <f t="shared" si="4"/>
        <v>194878.91999999998</v>
      </c>
      <c r="H135" s="14">
        <v>0.9</v>
      </c>
      <c r="I135" s="13">
        <v>155304</v>
      </c>
    </row>
    <row r="136" spans="1:9" x14ac:dyDescent="0.25">
      <c r="A136" s="4" t="s">
        <v>176</v>
      </c>
      <c r="B136" s="4" t="s">
        <v>829</v>
      </c>
      <c r="C136" s="4" t="s">
        <v>29</v>
      </c>
      <c r="D136" s="12">
        <v>164</v>
      </c>
      <c r="E136" s="12">
        <v>141</v>
      </c>
      <c r="F136" s="24">
        <v>243.15</v>
      </c>
      <c r="G136" s="13">
        <f t="shared" si="4"/>
        <v>39876.6</v>
      </c>
      <c r="H136" s="14">
        <v>0.93</v>
      </c>
      <c r="I136" s="13">
        <v>38128</v>
      </c>
    </row>
    <row r="137" spans="1:9" x14ac:dyDescent="0.25">
      <c r="A137" s="4" t="s">
        <v>177</v>
      </c>
      <c r="B137" s="4" t="s">
        <v>828</v>
      </c>
      <c r="C137" s="4" t="s">
        <v>45</v>
      </c>
      <c r="D137" s="12">
        <v>36229</v>
      </c>
      <c r="E137" s="12">
        <v>29305</v>
      </c>
      <c r="F137" s="24">
        <v>1.36</v>
      </c>
      <c r="G137" s="13">
        <f t="shared" si="4"/>
        <v>49271.44</v>
      </c>
      <c r="H137" s="14">
        <v>0.89</v>
      </c>
      <c r="I137" s="13">
        <v>43433</v>
      </c>
    </row>
    <row r="138" spans="1:9" x14ac:dyDescent="0.25">
      <c r="A138" s="4" t="s">
        <v>178</v>
      </c>
      <c r="B138" s="4" t="s">
        <v>870</v>
      </c>
      <c r="C138" s="4" t="s">
        <v>45</v>
      </c>
      <c r="D138" s="12">
        <v>39157</v>
      </c>
      <c r="E138" s="12">
        <v>38252</v>
      </c>
      <c r="F138" s="24">
        <v>2.73</v>
      </c>
      <c r="G138" s="13">
        <f t="shared" si="4"/>
        <v>106898.61</v>
      </c>
      <c r="H138" s="14">
        <v>1</v>
      </c>
      <c r="I138" s="13">
        <v>110725</v>
      </c>
    </row>
    <row r="139" spans="1:9" x14ac:dyDescent="0.25">
      <c r="A139" s="4" t="s">
        <v>179</v>
      </c>
      <c r="B139" s="4" t="s">
        <v>873</v>
      </c>
      <c r="C139" s="4" t="s">
        <v>32</v>
      </c>
      <c r="D139" s="12">
        <v>1292</v>
      </c>
      <c r="E139" s="12">
        <v>990</v>
      </c>
      <c r="F139" s="24">
        <v>45.01</v>
      </c>
      <c r="G139" s="13">
        <f t="shared" si="4"/>
        <v>58152.92</v>
      </c>
      <c r="H139" s="14">
        <v>0.85</v>
      </c>
      <c r="I139" s="13">
        <v>47384</v>
      </c>
    </row>
    <row r="140" spans="1:9" x14ac:dyDescent="0.25">
      <c r="A140" s="4" t="s">
        <v>180</v>
      </c>
      <c r="B140" s="4" t="s">
        <v>864</v>
      </c>
      <c r="C140" s="4" t="s">
        <v>27</v>
      </c>
      <c r="D140" s="12">
        <v>1359</v>
      </c>
      <c r="E140" s="12">
        <v>1103</v>
      </c>
      <c r="F140" s="24">
        <v>40.07</v>
      </c>
      <c r="G140" s="13">
        <f t="shared" si="4"/>
        <v>54455.13</v>
      </c>
      <c r="H140" s="14">
        <v>0.94</v>
      </c>
      <c r="I140" s="13">
        <v>44532</v>
      </c>
    </row>
    <row r="141" spans="1:9" x14ac:dyDescent="0.25">
      <c r="A141" s="4" t="s">
        <v>181</v>
      </c>
      <c r="B141" s="4" t="s">
        <v>849</v>
      </c>
      <c r="C141" s="4" t="s">
        <v>29</v>
      </c>
      <c r="D141" s="12">
        <v>6312</v>
      </c>
      <c r="E141" s="12">
        <v>5759</v>
      </c>
      <c r="F141" s="24">
        <v>6.53</v>
      </c>
      <c r="G141" s="13">
        <f t="shared" si="4"/>
        <v>41217.360000000001</v>
      </c>
      <c r="H141" s="14">
        <v>0.97</v>
      </c>
      <c r="I141" s="13">
        <v>36432</v>
      </c>
    </row>
    <row r="142" spans="1:9" x14ac:dyDescent="0.25">
      <c r="A142" s="4" t="s">
        <v>182</v>
      </c>
      <c r="B142" s="4" t="s">
        <v>837</v>
      </c>
      <c r="C142" s="4" t="s">
        <v>29</v>
      </c>
      <c r="D142" s="12">
        <v>451</v>
      </c>
      <c r="E142" s="12">
        <v>391</v>
      </c>
      <c r="F142" s="24">
        <v>212.98</v>
      </c>
      <c r="G142" s="13">
        <f t="shared" si="4"/>
        <v>96053.98</v>
      </c>
      <c r="H142" s="14">
        <v>0.91</v>
      </c>
      <c r="I142" s="13">
        <v>93245</v>
      </c>
    </row>
    <row r="143" spans="1:9" x14ac:dyDescent="0.25">
      <c r="A143" s="4" t="s">
        <v>183</v>
      </c>
      <c r="B143" s="4" t="s">
        <v>875</v>
      </c>
      <c r="C143" s="4" t="s">
        <v>29</v>
      </c>
      <c r="D143" s="12">
        <v>131</v>
      </c>
      <c r="E143" s="12">
        <v>98</v>
      </c>
      <c r="F143" s="24">
        <v>280.42</v>
      </c>
      <c r="G143" s="13">
        <f t="shared" si="4"/>
        <v>36735.020000000004</v>
      </c>
      <c r="H143" s="14">
        <v>0.93</v>
      </c>
      <c r="I143" s="13">
        <v>30667</v>
      </c>
    </row>
    <row r="144" spans="1:9" x14ac:dyDescent="0.25">
      <c r="A144" s="4" t="s">
        <v>184</v>
      </c>
      <c r="B144" s="4" t="s">
        <v>876</v>
      </c>
      <c r="C144" s="4" t="s">
        <v>45</v>
      </c>
      <c r="D144" s="12">
        <v>11497</v>
      </c>
      <c r="E144" s="12">
        <v>9287</v>
      </c>
      <c r="F144" s="24">
        <v>2.5099999999999998</v>
      </c>
      <c r="G144" s="13">
        <f t="shared" si="4"/>
        <v>28857.469999999998</v>
      </c>
      <c r="H144" s="14">
        <v>0.92</v>
      </c>
      <c r="I144" s="13">
        <v>22834</v>
      </c>
    </row>
    <row r="145" spans="1:9" x14ac:dyDescent="0.25">
      <c r="A145" s="4" t="s">
        <v>185</v>
      </c>
      <c r="B145" s="4" t="s">
        <v>824</v>
      </c>
      <c r="C145" s="4" t="s">
        <v>29</v>
      </c>
      <c r="D145" s="12">
        <v>103</v>
      </c>
      <c r="E145" s="12">
        <v>87</v>
      </c>
      <c r="F145" s="24">
        <v>316.27999999999997</v>
      </c>
      <c r="G145" s="13">
        <f t="shared" si="4"/>
        <v>32576.839999999997</v>
      </c>
      <c r="H145" s="14">
        <v>1</v>
      </c>
      <c r="I145" s="13">
        <v>27541</v>
      </c>
    </row>
    <row r="146" spans="1:9" x14ac:dyDescent="0.25">
      <c r="A146" s="4" t="s">
        <v>186</v>
      </c>
      <c r="B146" s="4" t="s">
        <v>831</v>
      </c>
      <c r="C146" s="4" t="s">
        <v>29</v>
      </c>
      <c r="D146" s="12">
        <v>3664</v>
      </c>
      <c r="E146" s="12">
        <v>2961</v>
      </c>
      <c r="F146" s="24">
        <v>10.24</v>
      </c>
      <c r="G146" s="13">
        <f t="shared" si="4"/>
        <v>37519.360000000001</v>
      </c>
      <c r="H146" s="14">
        <v>0.86</v>
      </c>
      <c r="I146" s="13">
        <v>32388</v>
      </c>
    </row>
    <row r="147" spans="1:9" x14ac:dyDescent="0.25">
      <c r="A147" s="4" t="s">
        <v>187</v>
      </c>
      <c r="B147" s="4" t="s">
        <v>836</v>
      </c>
      <c r="C147" s="4" t="s">
        <v>45</v>
      </c>
      <c r="D147" s="12">
        <v>44456</v>
      </c>
      <c r="E147" s="12">
        <v>40016</v>
      </c>
      <c r="F147" s="24">
        <v>2.0299999999999998</v>
      </c>
      <c r="G147" s="13">
        <f t="shared" si="4"/>
        <v>90245.68</v>
      </c>
      <c r="H147" s="14">
        <v>1</v>
      </c>
      <c r="I147" s="13">
        <v>87597</v>
      </c>
    </row>
    <row r="148" spans="1:9" x14ac:dyDescent="0.25">
      <c r="A148" s="4" t="s">
        <v>188</v>
      </c>
      <c r="B148" s="4" t="s">
        <v>828</v>
      </c>
      <c r="C148" s="4" t="s">
        <v>45</v>
      </c>
      <c r="D148" s="12">
        <v>27938</v>
      </c>
      <c r="E148" s="12">
        <v>22310</v>
      </c>
      <c r="F148" s="24">
        <v>1.71</v>
      </c>
      <c r="G148" s="13">
        <f t="shared" si="4"/>
        <v>47773.979999999996</v>
      </c>
      <c r="H148" s="14">
        <v>0.85</v>
      </c>
      <c r="I148" s="13">
        <v>42951</v>
      </c>
    </row>
    <row r="149" spans="1:9" x14ac:dyDescent="0.25">
      <c r="A149" s="4" t="s">
        <v>189</v>
      </c>
      <c r="B149" s="4" t="s">
        <v>822</v>
      </c>
      <c r="C149" s="4" t="s">
        <v>32</v>
      </c>
      <c r="D149" s="12">
        <v>2467</v>
      </c>
      <c r="E149" s="12">
        <v>2166</v>
      </c>
      <c r="F149" s="24">
        <v>48.99</v>
      </c>
      <c r="G149" s="13">
        <f t="shared" si="4"/>
        <v>120858.33</v>
      </c>
      <c r="H149" s="14">
        <v>0.95</v>
      </c>
      <c r="I149" s="13">
        <v>109773</v>
      </c>
    </row>
    <row r="150" spans="1:9" x14ac:dyDescent="0.25">
      <c r="A150" s="4" t="s">
        <v>190</v>
      </c>
      <c r="B150" s="4" t="s">
        <v>825</v>
      </c>
      <c r="C150" s="4" t="s">
        <v>32</v>
      </c>
      <c r="D150" s="12">
        <v>1895</v>
      </c>
      <c r="E150" s="12">
        <v>1707</v>
      </c>
      <c r="F150" s="24">
        <v>46.79</v>
      </c>
      <c r="G150" s="13">
        <f t="shared" si="4"/>
        <v>88667.05</v>
      </c>
      <c r="H150" s="14">
        <v>1</v>
      </c>
      <c r="I150" s="13">
        <v>77496</v>
      </c>
    </row>
    <row r="151" spans="1:9" x14ac:dyDescent="0.25">
      <c r="A151" s="4" t="s">
        <v>191</v>
      </c>
      <c r="B151" s="4" t="s">
        <v>858</v>
      </c>
      <c r="C151" s="4" t="s">
        <v>27</v>
      </c>
      <c r="D151" s="12">
        <v>1212</v>
      </c>
      <c r="E151" s="12">
        <v>1110</v>
      </c>
      <c r="F151" s="24">
        <v>42.43</v>
      </c>
      <c r="G151" s="13">
        <f t="shared" si="4"/>
        <v>51425.159999999996</v>
      </c>
      <c r="H151" s="14">
        <v>0.96</v>
      </c>
      <c r="I151" s="13">
        <v>52900</v>
      </c>
    </row>
    <row r="152" spans="1:9" x14ac:dyDescent="0.25">
      <c r="A152" s="4" t="s">
        <v>192</v>
      </c>
      <c r="B152" s="4" t="s">
        <v>829</v>
      </c>
      <c r="C152" s="4" t="s">
        <v>29</v>
      </c>
      <c r="D152" s="12">
        <v>194</v>
      </c>
      <c r="E152" s="12">
        <v>176</v>
      </c>
      <c r="F152" s="24">
        <v>327.19</v>
      </c>
      <c r="G152" s="13">
        <f t="shared" si="4"/>
        <v>63474.86</v>
      </c>
      <c r="H152" s="14">
        <v>1</v>
      </c>
      <c r="I152" s="13">
        <v>62207</v>
      </c>
    </row>
    <row r="153" spans="1:9" x14ac:dyDescent="0.25">
      <c r="A153" s="4" t="s">
        <v>193</v>
      </c>
      <c r="B153" s="4" t="s">
        <v>850</v>
      </c>
      <c r="C153" s="4" t="s">
        <v>29</v>
      </c>
      <c r="D153" s="12">
        <v>762</v>
      </c>
      <c r="E153" s="12">
        <v>638</v>
      </c>
      <c r="F153" s="24">
        <v>233.57</v>
      </c>
      <c r="G153" s="13">
        <f t="shared" si="4"/>
        <v>177980.34</v>
      </c>
      <c r="H153" s="14">
        <v>0.88</v>
      </c>
      <c r="I153" s="13">
        <v>166312</v>
      </c>
    </row>
    <row r="154" spans="1:9" x14ac:dyDescent="0.25">
      <c r="A154" s="4" t="s">
        <v>194</v>
      </c>
      <c r="B154" s="4" t="s">
        <v>877</v>
      </c>
      <c r="C154" s="4" t="s">
        <v>29</v>
      </c>
      <c r="D154" s="12">
        <v>262</v>
      </c>
      <c r="E154" s="12">
        <v>219</v>
      </c>
      <c r="F154" s="24">
        <v>287.13</v>
      </c>
      <c r="G154" s="13">
        <f t="shared" si="4"/>
        <v>75228.06</v>
      </c>
      <c r="H154" s="14">
        <v>0.88</v>
      </c>
      <c r="I154" s="13">
        <v>63835</v>
      </c>
    </row>
    <row r="155" spans="1:9" x14ac:dyDescent="0.25">
      <c r="A155" s="4" t="s">
        <v>195</v>
      </c>
      <c r="B155" s="4" t="s">
        <v>878</v>
      </c>
      <c r="C155" s="4" t="s">
        <v>32</v>
      </c>
      <c r="D155" s="12">
        <v>365</v>
      </c>
      <c r="E155" s="12">
        <v>365</v>
      </c>
      <c r="F155" s="24">
        <v>48.33</v>
      </c>
      <c r="G155" s="13">
        <f t="shared" si="4"/>
        <v>17640.45</v>
      </c>
      <c r="H155" s="14">
        <v>1</v>
      </c>
      <c r="I155" s="13">
        <v>19794</v>
      </c>
    </row>
    <row r="156" spans="1:9" x14ac:dyDescent="0.25">
      <c r="A156" s="4" t="s">
        <v>196</v>
      </c>
      <c r="B156" s="4" t="s">
        <v>843</v>
      </c>
      <c r="C156" s="4" t="s">
        <v>29</v>
      </c>
      <c r="D156" s="12">
        <v>61</v>
      </c>
      <c r="E156" s="12">
        <v>46</v>
      </c>
      <c r="F156" s="24">
        <v>263.5</v>
      </c>
      <c r="G156" s="13">
        <f t="shared" si="4"/>
        <v>16073.5</v>
      </c>
      <c r="H156" s="14">
        <v>0.91</v>
      </c>
      <c r="I156" s="13">
        <v>12988</v>
      </c>
    </row>
    <row r="157" spans="1:9" x14ac:dyDescent="0.25">
      <c r="A157" s="4" t="s">
        <v>197</v>
      </c>
      <c r="B157" s="4" t="s">
        <v>872</v>
      </c>
      <c r="C157" s="4" t="s">
        <v>27</v>
      </c>
      <c r="D157" s="12">
        <v>829</v>
      </c>
      <c r="E157" s="12">
        <v>811</v>
      </c>
      <c r="F157" s="24">
        <v>22</v>
      </c>
      <c r="G157" s="13">
        <f t="shared" si="4"/>
        <v>18238</v>
      </c>
      <c r="H157" s="14">
        <v>1</v>
      </c>
      <c r="I157" s="13">
        <v>19220</v>
      </c>
    </row>
    <row r="158" spans="1:9" x14ac:dyDescent="0.25">
      <c r="A158" s="4" t="s">
        <v>198</v>
      </c>
      <c r="B158" s="4" t="s">
        <v>850</v>
      </c>
      <c r="C158" s="4" t="s">
        <v>29</v>
      </c>
      <c r="D158" s="12">
        <v>171</v>
      </c>
      <c r="E158" s="12">
        <v>163</v>
      </c>
      <c r="F158" s="24">
        <v>255.69</v>
      </c>
      <c r="G158" s="13">
        <f t="shared" si="4"/>
        <v>43722.99</v>
      </c>
      <c r="H158" s="14">
        <v>1</v>
      </c>
      <c r="I158" s="13">
        <v>39786</v>
      </c>
    </row>
    <row r="159" spans="1:9" x14ac:dyDescent="0.25">
      <c r="A159" s="4" t="s">
        <v>199</v>
      </c>
      <c r="B159" s="4" t="s">
        <v>837</v>
      </c>
      <c r="C159" s="4" t="s">
        <v>29</v>
      </c>
      <c r="D159" s="12">
        <v>817</v>
      </c>
      <c r="E159" s="12">
        <v>689</v>
      </c>
      <c r="F159" s="24">
        <v>212.99</v>
      </c>
      <c r="G159" s="13">
        <f t="shared" si="4"/>
        <v>174012.83000000002</v>
      </c>
      <c r="H159" s="14">
        <v>0.98</v>
      </c>
      <c r="I159" s="13">
        <v>139963</v>
      </c>
    </row>
    <row r="160" spans="1:9" x14ac:dyDescent="0.25">
      <c r="A160" s="4" t="s">
        <v>200</v>
      </c>
      <c r="B160" s="4" t="s">
        <v>851</v>
      </c>
      <c r="C160" s="4" t="s">
        <v>29</v>
      </c>
      <c r="D160" s="12">
        <v>9486</v>
      </c>
      <c r="E160" s="12">
        <v>7299</v>
      </c>
      <c r="F160" s="24">
        <v>8.41</v>
      </c>
      <c r="G160" s="13">
        <f t="shared" si="4"/>
        <v>79777.259999999995</v>
      </c>
      <c r="H160" s="14">
        <v>0.81</v>
      </c>
      <c r="I160" s="13">
        <v>65028</v>
      </c>
    </row>
    <row r="161" spans="1:9" x14ac:dyDescent="0.25">
      <c r="A161" s="4" t="s">
        <v>201</v>
      </c>
      <c r="B161" s="4" t="s">
        <v>877</v>
      </c>
      <c r="C161" s="4" t="s">
        <v>29</v>
      </c>
      <c r="D161" s="12">
        <v>668</v>
      </c>
      <c r="E161" s="12">
        <v>584</v>
      </c>
      <c r="F161" s="24">
        <v>195.98</v>
      </c>
      <c r="G161" s="13">
        <f t="shared" si="4"/>
        <v>130914.64</v>
      </c>
      <c r="H161" s="14">
        <v>0.99</v>
      </c>
      <c r="I161" s="13">
        <v>117076</v>
      </c>
    </row>
    <row r="162" spans="1:9" x14ac:dyDescent="0.25">
      <c r="A162" s="4" t="s">
        <v>202</v>
      </c>
      <c r="B162" s="4" t="s">
        <v>821</v>
      </c>
      <c r="C162" s="4" t="s">
        <v>29</v>
      </c>
      <c r="D162" s="12">
        <v>7609</v>
      </c>
      <c r="E162" s="12">
        <v>6483</v>
      </c>
      <c r="F162" s="24">
        <v>9.84</v>
      </c>
      <c r="G162" s="13">
        <f t="shared" si="4"/>
        <v>74872.56</v>
      </c>
      <c r="H162" s="14">
        <v>1</v>
      </c>
      <c r="I162" s="13">
        <v>69969</v>
      </c>
    </row>
    <row r="163" spans="1:9" x14ac:dyDescent="0.25">
      <c r="A163" s="4" t="s">
        <v>203</v>
      </c>
      <c r="B163" s="4" t="s">
        <v>867</v>
      </c>
      <c r="C163" s="4" t="s">
        <v>29</v>
      </c>
      <c r="D163" s="12">
        <v>8431</v>
      </c>
      <c r="E163" s="12">
        <v>7723</v>
      </c>
      <c r="F163" s="24">
        <v>7.51</v>
      </c>
      <c r="G163" s="13">
        <f t="shared" si="4"/>
        <v>63316.81</v>
      </c>
      <c r="H163" s="14">
        <v>0.98</v>
      </c>
      <c r="I163" s="13">
        <v>61279</v>
      </c>
    </row>
    <row r="164" spans="1:9" x14ac:dyDescent="0.25">
      <c r="A164" s="4" t="s">
        <v>204</v>
      </c>
      <c r="B164" s="4" t="s">
        <v>854</v>
      </c>
      <c r="C164" s="4" t="s">
        <v>29</v>
      </c>
      <c r="D164" s="12">
        <v>99</v>
      </c>
      <c r="E164" s="12">
        <v>87</v>
      </c>
      <c r="F164" s="24">
        <v>342.48</v>
      </c>
      <c r="G164" s="13">
        <f t="shared" si="4"/>
        <v>33905.520000000004</v>
      </c>
      <c r="H164" s="14">
        <v>1</v>
      </c>
      <c r="I164" s="13">
        <v>29423</v>
      </c>
    </row>
    <row r="165" spans="1:9" x14ac:dyDescent="0.25">
      <c r="A165" s="4" t="s">
        <v>205</v>
      </c>
      <c r="B165" s="4" t="s">
        <v>840</v>
      </c>
      <c r="C165" s="4" t="s">
        <v>27</v>
      </c>
      <c r="D165" s="12">
        <v>2166</v>
      </c>
      <c r="E165" s="12">
        <v>1840</v>
      </c>
      <c r="F165" s="24">
        <v>38.57</v>
      </c>
      <c r="G165" s="13">
        <f t="shared" ref="G165:G196" si="5">D165*F165</f>
        <v>83542.62</v>
      </c>
      <c r="H165" s="14">
        <v>0.93</v>
      </c>
      <c r="I165" s="13">
        <v>74966</v>
      </c>
    </row>
    <row r="166" spans="1:9" x14ac:dyDescent="0.25">
      <c r="A166" s="4" t="s">
        <v>206</v>
      </c>
      <c r="B166" s="4" t="s">
        <v>833</v>
      </c>
      <c r="C166" s="4" t="s">
        <v>45</v>
      </c>
      <c r="D166" s="12">
        <v>58264</v>
      </c>
      <c r="E166" s="12">
        <v>58093</v>
      </c>
      <c r="F166" s="24">
        <v>1.27</v>
      </c>
      <c r="G166" s="13">
        <f t="shared" si="5"/>
        <v>73995.28</v>
      </c>
      <c r="H166" s="14">
        <v>1</v>
      </c>
      <c r="I166" s="13">
        <v>81082</v>
      </c>
    </row>
    <row r="167" spans="1:9" x14ac:dyDescent="0.25">
      <c r="A167" s="4" t="s">
        <v>207</v>
      </c>
      <c r="B167" s="4" t="s">
        <v>875</v>
      </c>
      <c r="C167" s="4" t="s">
        <v>29</v>
      </c>
      <c r="D167" s="12">
        <v>59</v>
      </c>
      <c r="E167" s="12">
        <v>54</v>
      </c>
      <c r="F167" s="24">
        <v>326.86</v>
      </c>
      <c r="G167" s="13">
        <f t="shared" si="5"/>
        <v>19284.740000000002</v>
      </c>
      <c r="H167" s="14">
        <v>1</v>
      </c>
      <c r="I167" s="13">
        <v>17662</v>
      </c>
    </row>
    <row r="168" spans="1:9" x14ac:dyDescent="0.25">
      <c r="A168" s="4" t="s">
        <v>208</v>
      </c>
      <c r="B168" s="4" t="s">
        <v>847</v>
      </c>
      <c r="C168" s="4" t="s">
        <v>45</v>
      </c>
      <c r="D168" s="12">
        <v>50698</v>
      </c>
      <c r="E168" s="12">
        <v>38674</v>
      </c>
      <c r="F168" s="24">
        <v>1.79</v>
      </c>
      <c r="G168" s="13">
        <f t="shared" si="5"/>
        <v>90749.42</v>
      </c>
      <c r="H168" s="14">
        <v>0.92</v>
      </c>
      <c r="I168" s="13">
        <v>66754</v>
      </c>
    </row>
    <row r="169" spans="1:9" x14ac:dyDescent="0.25">
      <c r="A169" s="4" t="s">
        <v>209</v>
      </c>
      <c r="B169" s="4" t="s">
        <v>873</v>
      </c>
      <c r="C169" s="4" t="s">
        <v>32</v>
      </c>
      <c r="D169" s="12">
        <v>846</v>
      </c>
      <c r="E169" s="12">
        <v>821</v>
      </c>
      <c r="F169" s="24">
        <v>28.17</v>
      </c>
      <c r="G169" s="13">
        <f t="shared" si="5"/>
        <v>23831.82</v>
      </c>
      <c r="H169" s="14">
        <v>1</v>
      </c>
      <c r="I169" s="13">
        <v>22160</v>
      </c>
    </row>
    <row r="170" spans="1:9" x14ac:dyDescent="0.25">
      <c r="A170" s="4" t="s">
        <v>210</v>
      </c>
      <c r="B170" s="4" t="s">
        <v>839</v>
      </c>
      <c r="C170" s="4" t="s">
        <v>27</v>
      </c>
      <c r="D170" s="12">
        <v>1700</v>
      </c>
      <c r="E170" s="12">
        <v>1283</v>
      </c>
      <c r="F170" s="24">
        <v>55.21</v>
      </c>
      <c r="G170" s="13">
        <f t="shared" si="5"/>
        <v>93857</v>
      </c>
      <c r="H170" s="14">
        <v>0.92</v>
      </c>
      <c r="I170" s="13">
        <v>77853</v>
      </c>
    </row>
    <row r="171" spans="1:9" x14ac:dyDescent="0.25">
      <c r="A171" s="4" t="s">
        <v>211</v>
      </c>
      <c r="B171" s="4" t="s">
        <v>830</v>
      </c>
      <c r="C171" s="4" t="s">
        <v>29</v>
      </c>
      <c r="D171" s="12">
        <v>212</v>
      </c>
      <c r="E171" s="12">
        <v>202</v>
      </c>
      <c r="F171" s="24">
        <v>314.58999999999997</v>
      </c>
      <c r="G171" s="13">
        <f t="shared" si="5"/>
        <v>66693.08</v>
      </c>
      <c r="H171" s="14">
        <v>1</v>
      </c>
      <c r="I171" s="13">
        <v>62488</v>
      </c>
    </row>
    <row r="172" spans="1:9" x14ac:dyDescent="0.25">
      <c r="A172" s="4" t="s">
        <v>212</v>
      </c>
      <c r="B172" s="4" t="s">
        <v>852</v>
      </c>
      <c r="C172" s="4" t="s">
        <v>29</v>
      </c>
      <c r="D172" s="12">
        <v>412</v>
      </c>
      <c r="E172" s="12">
        <v>349</v>
      </c>
      <c r="F172" s="24">
        <v>237.52</v>
      </c>
      <c r="G172" s="13">
        <f t="shared" si="5"/>
        <v>97858.240000000005</v>
      </c>
      <c r="H172" s="14">
        <v>0.95</v>
      </c>
      <c r="I172" s="13">
        <v>79112</v>
      </c>
    </row>
    <row r="173" spans="1:9" x14ac:dyDescent="0.25">
      <c r="A173" s="4" t="s">
        <v>213</v>
      </c>
      <c r="B173" s="4" t="s">
        <v>821</v>
      </c>
      <c r="C173" s="4" t="s">
        <v>29</v>
      </c>
      <c r="D173" s="12">
        <v>8820</v>
      </c>
      <c r="E173" s="12">
        <v>8692</v>
      </c>
      <c r="F173" s="24">
        <v>8.91</v>
      </c>
      <c r="G173" s="13">
        <f t="shared" si="5"/>
        <v>78586.2</v>
      </c>
      <c r="H173" s="14">
        <v>1</v>
      </c>
      <c r="I173" s="13">
        <v>87468</v>
      </c>
    </row>
    <row r="174" spans="1:9" x14ac:dyDescent="0.25">
      <c r="A174" s="4" t="s">
        <v>214</v>
      </c>
      <c r="B174" s="4" t="s">
        <v>856</v>
      </c>
      <c r="C174" s="4" t="s">
        <v>29</v>
      </c>
      <c r="D174" s="12">
        <v>5374</v>
      </c>
      <c r="E174" s="12">
        <v>4614</v>
      </c>
      <c r="F174" s="24">
        <v>6.28</v>
      </c>
      <c r="G174" s="13">
        <f t="shared" si="5"/>
        <v>33748.720000000001</v>
      </c>
      <c r="H174" s="14">
        <v>0.92</v>
      </c>
      <c r="I174" s="13">
        <v>29071</v>
      </c>
    </row>
    <row r="175" spans="1:9" x14ac:dyDescent="0.25">
      <c r="A175" s="4" t="s">
        <v>215</v>
      </c>
      <c r="B175" s="4" t="s">
        <v>856</v>
      </c>
      <c r="C175" s="4" t="s">
        <v>29</v>
      </c>
      <c r="D175" s="12">
        <v>8216</v>
      </c>
      <c r="E175" s="12">
        <v>6395</v>
      </c>
      <c r="F175" s="24">
        <v>8.6999999999999993</v>
      </c>
      <c r="G175" s="13">
        <f t="shared" si="5"/>
        <v>71479.199999999997</v>
      </c>
      <c r="H175" s="14">
        <v>0.83</v>
      </c>
      <c r="I175" s="13">
        <v>53517</v>
      </c>
    </row>
    <row r="176" spans="1:9" x14ac:dyDescent="0.25">
      <c r="A176" s="4" t="s">
        <v>216</v>
      </c>
      <c r="B176" s="4" t="s">
        <v>861</v>
      </c>
      <c r="C176" s="4" t="s">
        <v>45</v>
      </c>
      <c r="D176" s="12">
        <v>33352</v>
      </c>
      <c r="E176" s="12">
        <v>29832</v>
      </c>
      <c r="F176" s="24">
        <v>1.39</v>
      </c>
      <c r="G176" s="13">
        <f t="shared" si="5"/>
        <v>46359.28</v>
      </c>
      <c r="H176" s="14">
        <v>0.99</v>
      </c>
      <c r="I176" s="13">
        <v>40762</v>
      </c>
    </row>
    <row r="177" spans="1:9" x14ac:dyDescent="0.25">
      <c r="A177" s="4" t="s">
        <v>217</v>
      </c>
      <c r="B177" s="4" t="s">
        <v>867</v>
      </c>
      <c r="C177" s="4" t="s">
        <v>29</v>
      </c>
      <c r="D177" s="12">
        <v>6263</v>
      </c>
      <c r="E177" s="12">
        <v>5908</v>
      </c>
      <c r="F177" s="24">
        <v>6.64</v>
      </c>
      <c r="G177" s="13">
        <f t="shared" si="5"/>
        <v>41586.32</v>
      </c>
      <c r="H177" s="14">
        <v>1</v>
      </c>
      <c r="I177" s="13">
        <v>37955</v>
      </c>
    </row>
    <row r="178" spans="1:9" x14ac:dyDescent="0.25">
      <c r="A178" s="4" t="s">
        <v>218</v>
      </c>
      <c r="B178" s="4" t="s">
        <v>869</v>
      </c>
      <c r="C178" s="4" t="s">
        <v>29</v>
      </c>
      <c r="D178" s="12">
        <v>388</v>
      </c>
      <c r="E178" s="12">
        <v>296</v>
      </c>
      <c r="F178" s="24">
        <v>291.91000000000003</v>
      </c>
      <c r="G178" s="13">
        <f t="shared" si="5"/>
        <v>113261.08000000002</v>
      </c>
      <c r="H178" s="14">
        <v>0.83</v>
      </c>
      <c r="I178" s="13">
        <v>93577</v>
      </c>
    </row>
    <row r="179" spans="1:9" x14ac:dyDescent="0.25">
      <c r="A179" s="4" t="s">
        <v>219</v>
      </c>
      <c r="B179" s="4" t="s">
        <v>873</v>
      </c>
      <c r="C179" s="4" t="s">
        <v>32</v>
      </c>
      <c r="D179" s="12">
        <v>2383</v>
      </c>
      <c r="E179" s="12">
        <v>2268</v>
      </c>
      <c r="F179" s="24">
        <v>34.78</v>
      </c>
      <c r="G179" s="13">
        <f t="shared" si="5"/>
        <v>82880.740000000005</v>
      </c>
      <c r="H179" s="14">
        <v>1</v>
      </c>
      <c r="I179" s="13">
        <v>75795</v>
      </c>
    </row>
    <row r="180" spans="1:9" x14ac:dyDescent="0.25">
      <c r="A180" s="4" t="s">
        <v>220</v>
      </c>
      <c r="B180" s="4" t="s">
        <v>872</v>
      </c>
      <c r="C180" s="4" t="s">
        <v>27</v>
      </c>
      <c r="D180" s="12">
        <v>1347</v>
      </c>
      <c r="E180" s="12">
        <v>1203</v>
      </c>
      <c r="F180" s="24">
        <v>23.5</v>
      </c>
      <c r="G180" s="13">
        <f t="shared" si="5"/>
        <v>31654.5</v>
      </c>
      <c r="H180" s="14">
        <v>1</v>
      </c>
      <c r="I180" s="13">
        <v>30486</v>
      </c>
    </row>
    <row r="181" spans="1:9" x14ac:dyDescent="0.25">
      <c r="A181" s="4" t="s">
        <v>221</v>
      </c>
      <c r="B181" s="4" t="s">
        <v>844</v>
      </c>
      <c r="C181" s="4" t="s">
        <v>45</v>
      </c>
      <c r="D181" s="12">
        <v>7627</v>
      </c>
      <c r="E181" s="12">
        <v>7126</v>
      </c>
      <c r="F181" s="24">
        <v>2.16</v>
      </c>
      <c r="G181" s="13">
        <f t="shared" si="5"/>
        <v>16474.32</v>
      </c>
      <c r="H181" s="14">
        <v>1</v>
      </c>
      <c r="I181" s="13">
        <v>17464</v>
      </c>
    </row>
    <row r="182" spans="1:9" x14ac:dyDescent="0.25">
      <c r="A182" s="4" t="s">
        <v>222</v>
      </c>
      <c r="B182" s="4" t="s">
        <v>857</v>
      </c>
      <c r="C182" s="4" t="s">
        <v>27</v>
      </c>
      <c r="D182" s="12">
        <v>2260</v>
      </c>
      <c r="E182" s="12">
        <v>1892</v>
      </c>
      <c r="F182" s="24">
        <v>42.76</v>
      </c>
      <c r="G182" s="13">
        <f t="shared" si="5"/>
        <v>96637.599999999991</v>
      </c>
      <c r="H182" s="14">
        <v>0.9</v>
      </c>
      <c r="I182" s="13">
        <v>90099</v>
      </c>
    </row>
    <row r="183" spans="1:9" x14ac:dyDescent="0.25">
      <c r="A183" s="4" t="s">
        <v>223</v>
      </c>
      <c r="B183" s="4" t="s">
        <v>836</v>
      </c>
      <c r="C183" s="4" t="s">
        <v>45</v>
      </c>
      <c r="D183" s="12">
        <v>28541</v>
      </c>
      <c r="E183" s="12">
        <v>22631</v>
      </c>
      <c r="F183" s="24">
        <v>2.4</v>
      </c>
      <c r="G183" s="13">
        <f t="shared" si="5"/>
        <v>68498.399999999994</v>
      </c>
      <c r="H183" s="14">
        <v>0.84</v>
      </c>
      <c r="I183" s="13">
        <v>57297</v>
      </c>
    </row>
    <row r="184" spans="1:9" x14ac:dyDescent="0.25">
      <c r="A184" s="4" t="s">
        <v>224</v>
      </c>
      <c r="B184" s="4" t="s">
        <v>841</v>
      </c>
      <c r="C184" s="4" t="s">
        <v>27</v>
      </c>
      <c r="D184" s="12">
        <v>407</v>
      </c>
      <c r="E184" s="12">
        <v>344</v>
      </c>
      <c r="F184" s="24">
        <v>21.35</v>
      </c>
      <c r="G184" s="13">
        <f t="shared" si="5"/>
        <v>8689.4500000000007</v>
      </c>
      <c r="H184" s="14">
        <v>1</v>
      </c>
      <c r="I184" s="13">
        <v>7759</v>
      </c>
    </row>
    <row r="185" spans="1:9" x14ac:dyDescent="0.25">
      <c r="A185" s="4" t="s">
        <v>225</v>
      </c>
      <c r="B185" s="4" t="s">
        <v>848</v>
      </c>
      <c r="C185" s="4" t="s">
        <v>45</v>
      </c>
      <c r="D185" s="12">
        <v>13867</v>
      </c>
      <c r="E185" s="12">
        <v>13146</v>
      </c>
      <c r="F185" s="24">
        <v>3.03</v>
      </c>
      <c r="G185" s="13">
        <f t="shared" si="5"/>
        <v>42017.009999999995</v>
      </c>
      <c r="H185" s="14">
        <v>1</v>
      </c>
      <c r="I185" s="13">
        <v>42797</v>
      </c>
    </row>
    <row r="186" spans="1:9" x14ac:dyDescent="0.25">
      <c r="A186" s="4" t="s">
        <v>226</v>
      </c>
      <c r="B186" s="4" t="s">
        <v>849</v>
      </c>
      <c r="C186" s="4" t="s">
        <v>29</v>
      </c>
      <c r="D186" s="12">
        <v>14122</v>
      </c>
      <c r="E186" s="12">
        <v>11656</v>
      </c>
      <c r="F186" s="24">
        <v>6.21</v>
      </c>
      <c r="G186" s="13">
        <f t="shared" si="5"/>
        <v>87697.62</v>
      </c>
      <c r="H186" s="14">
        <v>1</v>
      </c>
      <c r="I186" s="13">
        <v>75004</v>
      </c>
    </row>
    <row r="187" spans="1:9" x14ac:dyDescent="0.25">
      <c r="A187" s="4" t="s">
        <v>227</v>
      </c>
      <c r="B187" s="4" t="s">
        <v>845</v>
      </c>
      <c r="C187" s="4" t="s">
        <v>29</v>
      </c>
      <c r="D187" s="12">
        <v>4718</v>
      </c>
      <c r="E187" s="12">
        <v>3590</v>
      </c>
      <c r="F187" s="24">
        <v>8.1199999999999992</v>
      </c>
      <c r="G187" s="13">
        <f t="shared" si="5"/>
        <v>38310.159999999996</v>
      </c>
      <c r="H187" s="14">
        <v>0.95</v>
      </c>
      <c r="I187" s="13">
        <v>30123</v>
      </c>
    </row>
    <row r="188" spans="1:9" x14ac:dyDescent="0.25">
      <c r="A188" s="4" t="s">
        <v>228</v>
      </c>
      <c r="B188" s="4" t="s">
        <v>821</v>
      </c>
      <c r="C188" s="4" t="s">
        <v>29</v>
      </c>
      <c r="D188" s="12">
        <v>4454</v>
      </c>
      <c r="E188" s="12">
        <v>3691</v>
      </c>
      <c r="F188" s="24">
        <v>10.77</v>
      </c>
      <c r="G188" s="13">
        <f t="shared" si="5"/>
        <v>47969.579999999994</v>
      </c>
      <c r="H188" s="14">
        <v>0.97</v>
      </c>
      <c r="I188" s="13">
        <v>44180</v>
      </c>
    </row>
    <row r="189" spans="1:9" x14ac:dyDescent="0.25">
      <c r="A189" s="4" t="s">
        <v>229</v>
      </c>
      <c r="B189" s="4" t="s">
        <v>851</v>
      </c>
      <c r="C189" s="4" t="s">
        <v>29</v>
      </c>
      <c r="D189" s="12">
        <v>6597</v>
      </c>
      <c r="E189" s="12">
        <v>5997</v>
      </c>
      <c r="F189" s="24">
        <v>5.39</v>
      </c>
      <c r="G189" s="13">
        <f t="shared" si="5"/>
        <v>35557.829999999994</v>
      </c>
      <c r="H189" s="14">
        <v>0.96</v>
      </c>
      <c r="I189" s="13">
        <v>32985</v>
      </c>
    </row>
    <row r="190" spans="1:9" x14ac:dyDescent="0.25">
      <c r="A190" s="4" t="s">
        <v>230</v>
      </c>
      <c r="B190" s="4" t="s">
        <v>861</v>
      </c>
      <c r="C190" s="4" t="s">
        <v>45</v>
      </c>
      <c r="D190" s="12">
        <v>49612</v>
      </c>
      <c r="E190" s="12">
        <v>46044</v>
      </c>
      <c r="F190" s="24">
        <v>1.93</v>
      </c>
      <c r="G190" s="13">
        <f t="shared" si="5"/>
        <v>95751.16</v>
      </c>
      <c r="H190" s="14">
        <v>1</v>
      </c>
      <c r="I190" s="13">
        <v>91747</v>
      </c>
    </row>
    <row r="191" spans="1:9" x14ac:dyDescent="0.25">
      <c r="A191" s="4" t="s">
        <v>231</v>
      </c>
      <c r="B191" s="4" t="s">
        <v>861</v>
      </c>
      <c r="C191" s="4" t="s">
        <v>45</v>
      </c>
      <c r="D191" s="12">
        <v>36589</v>
      </c>
      <c r="E191" s="12">
        <v>35593</v>
      </c>
      <c r="F191" s="24">
        <v>1.62</v>
      </c>
      <c r="G191" s="13">
        <f t="shared" si="5"/>
        <v>59274.18</v>
      </c>
      <c r="H191" s="14">
        <v>1</v>
      </c>
      <c r="I191" s="13">
        <v>60514</v>
      </c>
    </row>
    <row r="192" spans="1:9" x14ac:dyDescent="0.25">
      <c r="A192" s="4" t="s">
        <v>232</v>
      </c>
      <c r="B192" s="4" t="s">
        <v>874</v>
      </c>
      <c r="C192" s="4" t="s">
        <v>27</v>
      </c>
      <c r="D192" s="12">
        <v>2152</v>
      </c>
      <c r="E192" s="12">
        <v>2075</v>
      </c>
      <c r="F192" s="24">
        <v>28.28</v>
      </c>
      <c r="G192" s="13">
        <f t="shared" si="5"/>
        <v>60858.560000000005</v>
      </c>
      <c r="H192" s="14">
        <v>1</v>
      </c>
      <c r="I192" s="13">
        <v>60666</v>
      </c>
    </row>
    <row r="193" spans="1:9" x14ac:dyDescent="0.25">
      <c r="A193" s="4" t="s">
        <v>233</v>
      </c>
      <c r="B193" s="4" t="s">
        <v>865</v>
      </c>
      <c r="C193" s="4" t="s">
        <v>45</v>
      </c>
      <c r="D193" s="12">
        <v>42316</v>
      </c>
      <c r="E193" s="12">
        <v>38240</v>
      </c>
      <c r="F193" s="24">
        <v>2.59</v>
      </c>
      <c r="G193" s="13">
        <f t="shared" si="5"/>
        <v>109598.43999999999</v>
      </c>
      <c r="H193" s="14">
        <v>0.98</v>
      </c>
      <c r="I193" s="13">
        <v>94672</v>
      </c>
    </row>
    <row r="194" spans="1:9" x14ac:dyDescent="0.25">
      <c r="A194" s="4" t="s">
        <v>234</v>
      </c>
      <c r="B194" s="4" t="s">
        <v>856</v>
      </c>
      <c r="C194" s="4" t="s">
        <v>29</v>
      </c>
      <c r="D194" s="12">
        <v>1905</v>
      </c>
      <c r="E194" s="12">
        <v>1654</v>
      </c>
      <c r="F194" s="24">
        <v>10.81</v>
      </c>
      <c r="G194" s="13">
        <f t="shared" si="5"/>
        <v>20593.05</v>
      </c>
      <c r="H194" s="14">
        <v>1</v>
      </c>
      <c r="I194" s="13">
        <v>17130</v>
      </c>
    </row>
    <row r="195" spans="1:9" x14ac:dyDescent="0.25">
      <c r="A195" s="4" t="s">
        <v>235</v>
      </c>
      <c r="B195" s="4" t="s">
        <v>840</v>
      </c>
      <c r="C195" s="4" t="s">
        <v>27</v>
      </c>
      <c r="D195" s="12">
        <v>3118</v>
      </c>
      <c r="E195" s="12">
        <v>2371</v>
      </c>
      <c r="F195" s="24">
        <v>51.16</v>
      </c>
      <c r="G195" s="13">
        <f t="shared" si="5"/>
        <v>159516.87999999998</v>
      </c>
      <c r="H195" s="14">
        <v>0.95</v>
      </c>
      <c r="I195" s="13">
        <v>126800</v>
      </c>
    </row>
    <row r="196" spans="1:9" x14ac:dyDescent="0.25">
      <c r="B196" s="16" t="s">
        <v>879</v>
      </c>
      <c r="G196" s="8">
        <f>SUM(G5:G195)</f>
        <v>13880000.48</v>
      </c>
      <c r="I196" s="8">
        <f>SUM(I5:I195)</f>
        <v>12626160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2"/>
  <sheetViews>
    <sheetView showGridLines="0" zoomScaleNormal="100" workbookViewId="0"/>
  </sheetViews>
  <sheetFormatPr baseColWidth="10" defaultColWidth="8.7109375" defaultRowHeight="15" x14ac:dyDescent="0.25"/>
  <cols>
    <col min="1" max="1" width="15" customWidth="1"/>
    <col min="2" max="2" width="52" customWidth="1"/>
    <col min="3" max="9" width="15" customWidth="1"/>
  </cols>
  <sheetData>
    <row r="1" spans="1:9" ht="17.25" x14ac:dyDescent="0.3">
      <c r="A1" s="1" t="s">
        <v>880</v>
      </c>
    </row>
    <row r="2" spans="1:9" x14ac:dyDescent="0.25">
      <c r="A2" s="2" t="s">
        <v>810</v>
      </c>
    </row>
    <row r="4" spans="1:9" x14ac:dyDescent="0.25">
      <c r="A4" s="23" t="s">
        <v>811</v>
      </c>
      <c r="B4" s="23" t="s">
        <v>812</v>
      </c>
      <c r="C4" s="23" t="s">
        <v>813</v>
      </c>
      <c r="D4" s="23" t="s">
        <v>814</v>
      </c>
      <c r="E4" s="23" t="s">
        <v>815</v>
      </c>
      <c r="F4" s="23" t="s">
        <v>816</v>
      </c>
      <c r="G4" s="23" t="s">
        <v>817</v>
      </c>
      <c r="H4" s="23" t="s">
        <v>818</v>
      </c>
      <c r="I4" s="23" t="s">
        <v>819</v>
      </c>
    </row>
    <row r="5" spans="1:9" x14ac:dyDescent="0.25">
      <c r="A5" s="4" t="s">
        <v>236</v>
      </c>
      <c r="B5" s="4" t="s">
        <v>881</v>
      </c>
      <c r="C5" s="4" t="s">
        <v>237</v>
      </c>
      <c r="D5" s="12">
        <v>2</v>
      </c>
      <c r="E5" s="12">
        <v>2</v>
      </c>
      <c r="F5" s="24">
        <v>89154.37</v>
      </c>
      <c r="G5" s="13">
        <f t="shared" ref="G5:G68" si="0">D5*F5</f>
        <v>178308.74</v>
      </c>
      <c r="H5" s="14">
        <v>1</v>
      </c>
      <c r="I5" s="13">
        <v>200138</v>
      </c>
    </row>
    <row r="6" spans="1:9" x14ac:dyDescent="0.25">
      <c r="A6" s="4" t="s">
        <v>238</v>
      </c>
      <c r="B6" s="4" t="s">
        <v>882</v>
      </c>
      <c r="C6" s="4" t="s">
        <v>237</v>
      </c>
      <c r="D6" s="12">
        <v>112</v>
      </c>
      <c r="E6" s="12">
        <v>61</v>
      </c>
      <c r="F6" s="24">
        <v>1295.9100000000001</v>
      </c>
      <c r="G6" s="13">
        <f t="shared" si="0"/>
        <v>145141.92000000001</v>
      </c>
      <c r="H6" s="14">
        <v>0.68</v>
      </c>
      <c r="I6" s="13">
        <v>86456</v>
      </c>
    </row>
    <row r="7" spans="1:9" x14ac:dyDescent="0.25">
      <c r="A7" s="4" t="s">
        <v>239</v>
      </c>
      <c r="B7" s="4" t="s">
        <v>883</v>
      </c>
      <c r="C7" s="4" t="s">
        <v>240</v>
      </c>
      <c r="D7" s="12">
        <v>2703</v>
      </c>
      <c r="E7" s="12">
        <v>1384</v>
      </c>
      <c r="F7" s="24">
        <v>70.66</v>
      </c>
      <c r="G7" s="13">
        <f t="shared" si="0"/>
        <v>190993.97999999998</v>
      </c>
      <c r="H7" s="14">
        <v>0.57999999999999996</v>
      </c>
      <c r="I7" s="13">
        <v>105393</v>
      </c>
    </row>
    <row r="8" spans="1:9" x14ac:dyDescent="0.25">
      <c r="A8" s="4" t="s">
        <v>241</v>
      </c>
      <c r="B8" s="4" t="s">
        <v>884</v>
      </c>
      <c r="C8" s="4" t="s">
        <v>240</v>
      </c>
      <c r="D8" s="12">
        <v>1727</v>
      </c>
      <c r="E8" s="12">
        <v>1376</v>
      </c>
      <c r="F8" s="24">
        <v>44.45</v>
      </c>
      <c r="G8" s="13">
        <f t="shared" si="0"/>
        <v>76765.150000000009</v>
      </c>
      <c r="H8" s="14">
        <v>0.95</v>
      </c>
      <c r="I8" s="13">
        <v>63718</v>
      </c>
    </row>
    <row r="9" spans="1:9" x14ac:dyDescent="0.25">
      <c r="A9" s="4" t="s">
        <v>242</v>
      </c>
      <c r="B9" s="4" t="s">
        <v>885</v>
      </c>
      <c r="C9" s="4" t="s">
        <v>27</v>
      </c>
      <c r="D9" s="12">
        <v>1326</v>
      </c>
      <c r="E9" s="12">
        <v>714</v>
      </c>
      <c r="F9" s="24">
        <v>11.3</v>
      </c>
      <c r="G9" s="13">
        <f t="shared" si="0"/>
        <v>14983.800000000001</v>
      </c>
      <c r="H9" s="14">
        <v>0.59</v>
      </c>
      <c r="I9" s="13">
        <v>8741</v>
      </c>
    </row>
    <row r="10" spans="1:9" x14ac:dyDescent="0.25">
      <c r="A10" s="4" t="s">
        <v>243</v>
      </c>
      <c r="B10" s="4" t="s">
        <v>886</v>
      </c>
      <c r="C10" s="4" t="s">
        <v>32</v>
      </c>
      <c r="D10" s="12">
        <v>1662</v>
      </c>
      <c r="E10" s="12">
        <v>813</v>
      </c>
      <c r="F10" s="24">
        <v>4.28</v>
      </c>
      <c r="G10" s="13">
        <f t="shared" si="0"/>
        <v>7113.3600000000006</v>
      </c>
      <c r="H10" s="14">
        <v>0.63</v>
      </c>
      <c r="I10" s="13">
        <v>3698</v>
      </c>
    </row>
    <row r="11" spans="1:9" x14ac:dyDescent="0.25">
      <c r="A11" s="4" t="s">
        <v>244</v>
      </c>
      <c r="B11" s="4" t="s">
        <v>887</v>
      </c>
      <c r="C11" s="4" t="s">
        <v>32</v>
      </c>
      <c r="D11" s="12">
        <v>3098</v>
      </c>
      <c r="E11" s="12">
        <v>2085</v>
      </c>
      <c r="F11" s="24">
        <v>3.59</v>
      </c>
      <c r="G11" s="13">
        <f t="shared" si="0"/>
        <v>11121.82</v>
      </c>
      <c r="H11" s="14">
        <v>0.76</v>
      </c>
      <c r="I11" s="13">
        <v>8407</v>
      </c>
    </row>
    <row r="12" spans="1:9" x14ac:dyDescent="0.25">
      <c r="A12" s="4" t="s">
        <v>245</v>
      </c>
      <c r="B12" s="4" t="s">
        <v>888</v>
      </c>
      <c r="C12" s="4" t="s">
        <v>27</v>
      </c>
      <c r="D12" s="12">
        <v>566</v>
      </c>
      <c r="E12" s="12">
        <v>307</v>
      </c>
      <c r="F12" s="24">
        <v>7.15</v>
      </c>
      <c r="G12" s="13">
        <f t="shared" si="0"/>
        <v>4046.9</v>
      </c>
      <c r="H12" s="14">
        <v>0.68</v>
      </c>
      <c r="I12" s="13">
        <v>2259</v>
      </c>
    </row>
    <row r="13" spans="1:9" x14ac:dyDescent="0.25">
      <c r="A13" s="4" t="s">
        <v>246</v>
      </c>
      <c r="B13" s="4" t="s">
        <v>888</v>
      </c>
      <c r="C13" s="4" t="s">
        <v>27</v>
      </c>
      <c r="D13" s="12">
        <v>1152</v>
      </c>
      <c r="E13" s="12">
        <v>885</v>
      </c>
      <c r="F13" s="24">
        <v>8.2100000000000009</v>
      </c>
      <c r="G13" s="13">
        <f t="shared" si="0"/>
        <v>9457.9200000000019</v>
      </c>
      <c r="H13" s="14">
        <v>0.94</v>
      </c>
      <c r="I13" s="13">
        <v>7513</v>
      </c>
    </row>
    <row r="14" spans="1:9" x14ac:dyDescent="0.25">
      <c r="A14" s="4" t="s">
        <v>247</v>
      </c>
      <c r="B14" s="4" t="s">
        <v>889</v>
      </c>
      <c r="C14" s="4" t="s">
        <v>27</v>
      </c>
      <c r="D14" s="12">
        <v>567</v>
      </c>
      <c r="E14" s="12">
        <v>404</v>
      </c>
      <c r="F14" s="24">
        <v>11.1</v>
      </c>
      <c r="G14" s="13">
        <f t="shared" si="0"/>
        <v>6293.7</v>
      </c>
      <c r="H14" s="14">
        <v>0.78</v>
      </c>
      <c r="I14" s="13">
        <v>4881</v>
      </c>
    </row>
    <row r="15" spans="1:9" x14ac:dyDescent="0.25">
      <c r="A15" s="4" t="s">
        <v>248</v>
      </c>
      <c r="B15" s="4" t="s">
        <v>890</v>
      </c>
      <c r="C15" s="4" t="s">
        <v>237</v>
      </c>
      <c r="D15" s="12">
        <v>1</v>
      </c>
      <c r="E15" s="12">
        <v>0</v>
      </c>
      <c r="F15" s="24">
        <v>93687.82</v>
      </c>
      <c r="G15" s="13">
        <f t="shared" si="0"/>
        <v>93687.82</v>
      </c>
      <c r="H15" s="14">
        <v>0.16</v>
      </c>
      <c r="I15" s="13">
        <v>0</v>
      </c>
    </row>
    <row r="16" spans="1:9" x14ac:dyDescent="0.25">
      <c r="A16" s="4" t="s">
        <v>249</v>
      </c>
      <c r="B16" s="4" t="s">
        <v>891</v>
      </c>
      <c r="C16" s="4" t="s">
        <v>32</v>
      </c>
      <c r="D16" s="12">
        <v>775</v>
      </c>
      <c r="E16" s="12">
        <v>814</v>
      </c>
      <c r="F16" s="24">
        <v>27.36</v>
      </c>
      <c r="G16" s="13">
        <f t="shared" si="0"/>
        <v>21204</v>
      </c>
      <c r="H16" s="14">
        <v>0.79</v>
      </c>
      <c r="I16" s="13">
        <v>12674</v>
      </c>
    </row>
    <row r="17" spans="1:9" x14ac:dyDescent="0.25">
      <c r="A17" s="4" t="s">
        <v>250</v>
      </c>
      <c r="B17" s="4" t="s">
        <v>892</v>
      </c>
      <c r="C17" s="4" t="s">
        <v>240</v>
      </c>
      <c r="D17" s="12">
        <v>566</v>
      </c>
      <c r="E17" s="12">
        <v>269</v>
      </c>
      <c r="F17" s="24">
        <v>63.21</v>
      </c>
      <c r="G17" s="13">
        <f t="shared" si="0"/>
        <v>35776.86</v>
      </c>
      <c r="H17" s="14">
        <v>0.64</v>
      </c>
      <c r="I17" s="13">
        <v>16238</v>
      </c>
    </row>
    <row r="18" spans="1:9" x14ac:dyDescent="0.25">
      <c r="A18" s="4" t="s">
        <v>251</v>
      </c>
      <c r="B18" s="4" t="s">
        <v>891</v>
      </c>
      <c r="C18" s="4" t="s">
        <v>32</v>
      </c>
      <c r="D18" s="12">
        <v>2495</v>
      </c>
      <c r="E18" s="12">
        <v>1499</v>
      </c>
      <c r="F18" s="24">
        <v>17.2</v>
      </c>
      <c r="G18" s="13">
        <f t="shared" si="0"/>
        <v>42914</v>
      </c>
      <c r="H18" s="14">
        <v>0.78</v>
      </c>
      <c r="I18" s="13">
        <v>27205</v>
      </c>
    </row>
    <row r="19" spans="1:9" x14ac:dyDescent="0.25">
      <c r="A19" s="4" t="s">
        <v>252</v>
      </c>
      <c r="B19" s="4" t="s">
        <v>893</v>
      </c>
      <c r="C19" s="4" t="s">
        <v>32</v>
      </c>
      <c r="D19" s="12">
        <v>3073</v>
      </c>
      <c r="E19" s="12">
        <v>2578</v>
      </c>
      <c r="F19" s="24">
        <v>5.47</v>
      </c>
      <c r="G19" s="13">
        <f t="shared" si="0"/>
        <v>16809.309999999998</v>
      </c>
      <c r="H19" s="14">
        <v>0.96</v>
      </c>
      <c r="I19" s="13">
        <v>15830</v>
      </c>
    </row>
    <row r="20" spans="1:9" x14ac:dyDescent="0.25">
      <c r="A20" s="4" t="s">
        <v>253</v>
      </c>
      <c r="B20" s="4" t="s">
        <v>883</v>
      </c>
      <c r="C20" s="4" t="s">
        <v>240</v>
      </c>
      <c r="D20" s="12">
        <v>671</v>
      </c>
      <c r="E20" s="12">
        <v>307</v>
      </c>
      <c r="F20" s="24">
        <v>76.22</v>
      </c>
      <c r="G20" s="13">
        <f t="shared" si="0"/>
        <v>51143.62</v>
      </c>
      <c r="H20" s="14">
        <v>0.64</v>
      </c>
      <c r="I20" s="13">
        <v>24432</v>
      </c>
    </row>
    <row r="21" spans="1:9" x14ac:dyDescent="0.25">
      <c r="A21" s="4" t="s">
        <v>254</v>
      </c>
      <c r="B21" s="4" t="s">
        <v>890</v>
      </c>
      <c r="C21" s="4" t="s">
        <v>237</v>
      </c>
      <c r="D21" s="12">
        <v>1</v>
      </c>
      <c r="E21" s="12">
        <v>1</v>
      </c>
      <c r="F21" s="24">
        <v>93916.53</v>
      </c>
      <c r="G21" s="13">
        <f t="shared" si="0"/>
        <v>93916.53</v>
      </c>
      <c r="H21" s="14">
        <v>1</v>
      </c>
      <c r="I21" s="13">
        <v>105516</v>
      </c>
    </row>
    <row r="22" spans="1:9" x14ac:dyDescent="0.25">
      <c r="A22" s="4" t="s">
        <v>255</v>
      </c>
      <c r="B22" s="4" t="s">
        <v>894</v>
      </c>
      <c r="C22" s="4" t="s">
        <v>45</v>
      </c>
      <c r="D22" s="12">
        <v>9410</v>
      </c>
      <c r="E22" s="12">
        <v>7927</v>
      </c>
      <c r="F22" s="24">
        <v>1.32</v>
      </c>
      <c r="G22" s="13">
        <f t="shared" si="0"/>
        <v>12421.2</v>
      </c>
      <c r="H22" s="14">
        <v>0.93</v>
      </c>
      <c r="I22" s="13">
        <v>10744</v>
      </c>
    </row>
    <row r="23" spans="1:9" x14ac:dyDescent="0.25">
      <c r="A23" s="4" t="s">
        <v>256</v>
      </c>
      <c r="B23" s="4" t="s">
        <v>895</v>
      </c>
      <c r="C23" s="4" t="s">
        <v>237</v>
      </c>
      <c r="D23" s="12">
        <v>28</v>
      </c>
      <c r="E23" s="12">
        <v>15</v>
      </c>
      <c r="F23" s="24">
        <v>1315.83</v>
      </c>
      <c r="G23" s="13">
        <f t="shared" si="0"/>
        <v>36843.24</v>
      </c>
      <c r="H23" s="14">
        <v>0.71</v>
      </c>
      <c r="I23" s="13">
        <v>20308</v>
      </c>
    </row>
    <row r="24" spans="1:9" x14ac:dyDescent="0.25">
      <c r="A24" s="4" t="s">
        <v>257</v>
      </c>
      <c r="B24" s="4" t="s">
        <v>896</v>
      </c>
      <c r="C24" s="4" t="s">
        <v>45</v>
      </c>
      <c r="D24" s="12">
        <v>9202</v>
      </c>
      <c r="E24" s="12">
        <v>5661</v>
      </c>
      <c r="F24" s="24">
        <v>1.1000000000000001</v>
      </c>
      <c r="G24" s="13">
        <f t="shared" si="0"/>
        <v>10122.200000000001</v>
      </c>
      <c r="H24" s="14">
        <v>0.68</v>
      </c>
      <c r="I24" s="13">
        <v>6646</v>
      </c>
    </row>
    <row r="25" spans="1:9" x14ac:dyDescent="0.25">
      <c r="A25" s="4" t="s">
        <v>258</v>
      </c>
      <c r="B25" s="4" t="s">
        <v>896</v>
      </c>
      <c r="C25" s="4" t="s">
        <v>45</v>
      </c>
      <c r="D25" s="12">
        <v>18955</v>
      </c>
      <c r="E25" s="12">
        <v>11696</v>
      </c>
      <c r="F25" s="24">
        <v>0.99</v>
      </c>
      <c r="G25" s="13">
        <f t="shared" si="0"/>
        <v>18765.45</v>
      </c>
      <c r="H25" s="14">
        <v>0.75</v>
      </c>
      <c r="I25" s="13">
        <v>12890</v>
      </c>
    </row>
    <row r="26" spans="1:9" x14ac:dyDescent="0.25">
      <c r="A26" s="4" t="s">
        <v>259</v>
      </c>
      <c r="B26" s="4" t="s">
        <v>888</v>
      </c>
      <c r="C26" s="4" t="s">
        <v>27</v>
      </c>
      <c r="D26" s="12">
        <v>626</v>
      </c>
      <c r="E26" s="12">
        <v>283</v>
      </c>
      <c r="F26" s="24">
        <v>10.01</v>
      </c>
      <c r="G26" s="13">
        <f t="shared" si="0"/>
        <v>6266.26</v>
      </c>
      <c r="H26" s="14">
        <v>0.57999999999999996</v>
      </c>
      <c r="I26" s="13">
        <v>2933</v>
      </c>
    </row>
    <row r="27" spans="1:9" x14ac:dyDescent="0.25">
      <c r="A27" s="4" t="s">
        <v>260</v>
      </c>
      <c r="B27" s="4" t="s">
        <v>882</v>
      </c>
      <c r="C27" s="4" t="s">
        <v>237</v>
      </c>
      <c r="D27" s="12">
        <v>60</v>
      </c>
      <c r="E27" s="12">
        <v>39</v>
      </c>
      <c r="F27" s="24">
        <v>788.08</v>
      </c>
      <c r="G27" s="13">
        <f t="shared" si="0"/>
        <v>47284.800000000003</v>
      </c>
      <c r="H27" s="14">
        <v>0.77</v>
      </c>
      <c r="I27" s="13">
        <v>31872</v>
      </c>
    </row>
    <row r="28" spans="1:9" x14ac:dyDescent="0.25">
      <c r="A28" s="4" t="s">
        <v>261</v>
      </c>
      <c r="B28" s="4" t="s">
        <v>897</v>
      </c>
      <c r="C28" s="4" t="s">
        <v>237</v>
      </c>
      <c r="D28" s="12">
        <v>2</v>
      </c>
      <c r="E28" s="12">
        <v>1</v>
      </c>
      <c r="F28" s="24">
        <v>73241.539999999994</v>
      </c>
      <c r="G28" s="13">
        <f t="shared" si="0"/>
        <v>146483.07999999999</v>
      </c>
      <c r="H28" s="14">
        <v>0.65</v>
      </c>
      <c r="I28" s="13">
        <v>69733</v>
      </c>
    </row>
    <row r="29" spans="1:9" x14ac:dyDescent="0.25">
      <c r="A29" s="4" t="s">
        <v>262</v>
      </c>
      <c r="B29" s="4" t="s">
        <v>898</v>
      </c>
      <c r="C29" s="4" t="s">
        <v>32</v>
      </c>
      <c r="D29" s="12">
        <v>1943</v>
      </c>
      <c r="E29" s="12">
        <v>1588</v>
      </c>
      <c r="F29" s="24">
        <v>18.45</v>
      </c>
      <c r="G29" s="13">
        <f t="shared" si="0"/>
        <v>35848.35</v>
      </c>
      <c r="H29" s="14">
        <v>1</v>
      </c>
      <c r="I29" s="13">
        <v>28687</v>
      </c>
    </row>
    <row r="30" spans="1:9" x14ac:dyDescent="0.25">
      <c r="A30" s="4" t="s">
        <v>263</v>
      </c>
      <c r="B30" s="4" t="s">
        <v>899</v>
      </c>
      <c r="C30" s="4" t="s">
        <v>237</v>
      </c>
      <c r="D30" s="12">
        <v>1</v>
      </c>
      <c r="E30" s="12">
        <v>1</v>
      </c>
      <c r="F30" s="24">
        <v>130426.09</v>
      </c>
      <c r="G30" s="13">
        <f t="shared" si="0"/>
        <v>130426.09</v>
      </c>
      <c r="H30" s="14">
        <v>1</v>
      </c>
      <c r="I30" s="13">
        <v>144323</v>
      </c>
    </row>
    <row r="31" spans="1:9" x14ac:dyDescent="0.25">
      <c r="A31" s="4" t="s">
        <v>264</v>
      </c>
      <c r="B31" s="4" t="s">
        <v>900</v>
      </c>
      <c r="C31" s="4" t="s">
        <v>27</v>
      </c>
      <c r="D31" s="12">
        <v>1337</v>
      </c>
      <c r="E31" s="12">
        <v>1030</v>
      </c>
      <c r="F31" s="24">
        <v>9.65</v>
      </c>
      <c r="G31" s="13">
        <f t="shared" si="0"/>
        <v>12902.050000000001</v>
      </c>
      <c r="H31" s="14">
        <v>0.87</v>
      </c>
      <c r="I31" s="13">
        <v>9695</v>
      </c>
    </row>
    <row r="32" spans="1:9" x14ac:dyDescent="0.25">
      <c r="A32" s="4" t="s">
        <v>265</v>
      </c>
      <c r="B32" s="4" t="s">
        <v>901</v>
      </c>
      <c r="C32" s="4" t="s">
        <v>237</v>
      </c>
      <c r="D32" s="12">
        <v>2</v>
      </c>
      <c r="E32" s="12">
        <v>2</v>
      </c>
      <c r="F32" s="24">
        <v>156224.76999999999</v>
      </c>
      <c r="G32" s="13">
        <f t="shared" si="0"/>
        <v>312449.53999999998</v>
      </c>
      <c r="H32" s="14">
        <v>1</v>
      </c>
      <c r="I32" s="13">
        <v>314469</v>
      </c>
    </row>
    <row r="33" spans="1:9" x14ac:dyDescent="0.25">
      <c r="A33" s="4" t="s">
        <v>266</v>
      </c>
      <c r="B33" s="4" t="s">
        <v>902</v>
      </c>
      <c r="C33" s="4" t="s">
        <v>32</v>
      </c>
      <c r="D33" s="12">
        <v>1921</v>
      </c>
      <c r="E33" s="12">
        <v>917</v>
      </c>
      <c r="F33" s="24">
        <v>3.26</v>
      </c>
      <c r="G33" s="13">
        <f t="shared" si="0"/>
        <v>6262.46</v>
      </c>
      <c r="H33" s="14">
        <v>0.66</v>
      </c>
      <c r="I33" s="13">
        <v>3330</v>
      </c>
    </row>
    <row r="34" spans="1:9" x14ac:dyDescent="0.25">
      <c r="A34" s="4" t="s">
        <v>267</v>
      </c>
      <c r="B34" s="4" t="s">
        <v>903</v>
      </c>
      <c r="C34" s="4" t="s">
        <v>237</v>
      </c>
      <c r="D34" s="12">
        <v>2</v>
      </c>
      <c r="E34" s="12">
        <v>2</v>
      </c>
      <c r="F34" s="24">
        <v>86873.38</v>
      </c>
      <c r="G34" s="13">
        <f t="shared" si="0"/>
        <v>173746.76</v>
      </c>
      <c r="H34" s="14">
        <v>1</v>
      </c>
      <c r="I34" s="13">
        <v>186722</v>
      </c>
    </row>
    <row r="35" spans="1:9" x14ac:dyDescent="0.25">
      <c r="A35" s="4" t="s">
        <v>268</v>
      </c>
      <c r="B35" s="4" t="s">
        <v>900</v>
      </c>
      <c r="C35" s="4" t="s">
        <v>27</v>
      </c>
      <c r="D35" s="12">
        <v>671</v>
      </c>
      <c r="E35" s="12">
        <v>451</v>
      </c>
      <c r="F35" s="24">
        <v>7.92</v>
      </c>
      <c r="G35" s="13">
        <f t="shared" si="0"/>
        <v>5314.32</v>
      </c>
      <c r="H35" s="14">
        <v>0.79</v>
      </c>
      <c r="I35" s="13">
        <v>3495</v>
      </c>
    </row>
    <row r="36" spans="1:9" x14ac:dyDescent="0.25">
      <c r="A36" s="4" t="s">
        <v>269</v>
      </c>
      <c r="B36" s="4" t="s">
        <v>904</v>
      </c>
      <c r="C36" s="4" t="s">
        <v>240</v>
      </c>
      <c r="D36" s="12">
        <v>1613</v>
      </c>
      <c r="E36" s="12">
        <v>1111</v>
      </c>
      <c r="F36" s="24">
        <v>69.84</v>
      </c>
      <c r="G36" s="13">
        <f t="shared" si="0"/>
        <v>112651.92</v>
      </c>
      <c r="H36" s="14">
        <v>0.81</v>
      </c>
      <c r="I36" s="13">
        <v>86961</v>
      </c>
    </row>
    <row r="37" spans="1:9" x14ac:dyDescent="0.25">
      <c r="A37" s="4" t="s">
        <v>270</v>
      </c>
      <c r="B37" s="4" t="s">
        <v>896</v>
      </c>
      <c r="C37" s="4" t="s">
        <v>45</v>
      </c>
      <c r="D37" s="12">
        <v>24946</v>
      </c>
      <c r="E37" s="12">
        <v>11458</v>
      </c>
      <c r="F37" s="24">
        <v>1.49</v>
      </c>
      <c r="G37" s="13">
        <f t="shared" si="0"/>
        <v>37169.54</v>
      </c>
      <c r="H37" s="14">
        <v>0.65</v>
      </c>
      <c r="I37" s="13">
        <v>16960</v>
      </c>
    </row>
    <row r="38" spans="1:9" x14ac:dyDescent="0.25">
      <c r="A38" s="4" t="s">
        <v>271</v>
      </c>
      <c r="B38" s="4" t="s">
        <v>905</v>
      </c>
      <c r="C38" s="4" t="s">
        <v>32</v>
      </c>
      <c r="D38" s="12">
        <v>407</v>
      </c>
      <c r="E38" s="12">
        <v>224</v>
      </c>
      <c r="F38" s="24">
        <v>26.58</v>
      </c>
      <c r="G38" s="13">
        <f t="shared" si="0"/>
        <v>10818.06</v>
      </c>
      <c r="H38" s="14">
        <v>0.62</v>
      </c>
      <c r="I38" s="13">
        <v>6167</v>
      </c>
    </row>
    <row r="39" spans="1:9" x14ac:dyDescent="0.25">
      <c r="A39" s="4" t="s">
        <v>272</v>
      </c>
      <c r="B39" s="4" t="s">
        <v>906</v>
      </c>
      <c r="C39" s="4" t="s">
        <v>237</v>
      </c>
      <c r="D39" s="12">
        <v>2</v>
      </c>
      <c r="E39" s="12">
        <v>1</v>
      </c>
      <c r="F39" s="24">
        <v>109798.66</v>
      </c>
      <c r="G39" s="13">
        <f t="shared" si="0"/>
        <v>219597.32</v>
      </c>
      <c r="H39" s="14">
        <v>0.57999999999999996</v>
      </c>
      <c r="I39" s="13">
        <v>118532</v>
      </c>
    </row>
    <row r="40" spans="1:9" x14ac:dyDescent="0.25">
      <c r="A40" s="4" t="s">
        <v>273</v>
      </c>
      <c r="B40" s="4" t="s">
        <v>907</v>
      </c>
      <c r="C40" s="4" t="s">
        <v>32</v>
      </c>
      <c r="D40" s="12">
        <v>2499</v>
      </c>
      <c r="E40" s="12">
        <v>2043</v>
      </c>
      <c r="F40" s="24">
        <v>3.58</v>
      </c>
      <c r="G40" s="13">
        <f t="shared" si="0"/>
        <v>8946.42</v>
      </c>
      <c r="H40" s="14">
        <v>0.86</v>
      </c>
      <c r="I40" s="13">
        <v>7526</v>
      </c>
    </row>
    <row r="41" spans="1:9" x14ac:dyDescent="0.25">
      <c r="A41" s="4" t="s">
        <v>274</v>
      </c>
      <c r="B41" s="4" t="s">
        <v>908</v>
      </c>
      <c r="C41" s="4" t="s">
        <v>237</v>
      </c>
      <c r="D41" s="12">
        <v>2</v>
      </c>
      <c r="E41" s="12">
        <v>1</v>
      </c>
      <c r="F41" s="24">
        <v>78548.83</v>
      </c>
      <c r="G41" s="13">
        <f t="shared" si="0"/>
        <v>157097.66</v>
      </c>
      <c r="H41" s="14">
        <v>0.65</v>
      </c>
      <c r="I41" s="13">
        <v>79106</v>
      </c>
    </row>
    <row r="42" spans="1:9" x14ac:dyDescent="0.25">
      <c r="A42" s="4" t="s">
        <v>275</v>
      </c>
      <c r="B42" s="4" t="s">
        <v>884</v>
      </c>
      <c r="C42" s="4" t="s">
        <v>240</v>
      </c>
      <c r="D42" s="12">
        <v>491</v>
      </c>
      <c r="E42" s="12">
        <v>264</v>
      </c>
      <c r="F42" s="24">
        <v>42.16</v>
      </c>
      <c r="G42" s="13">
        <f t="shared" si="0"/>
        <v>20700.559999999998</v>
      </c>
      <c r="H42" s="14">
        <v>0.57999999999999996</v>
      </c>
      <c r="I42" s="13">
        <v>10848</v>
      </c>
    </row>
    <row r="43" spans="1:9" x14ac:dyDescent="0.25">
      <c r="A43" s="4" t="s">
        <v>276</v>
      </c>
      <c r="B43" s="4" t="s">
        <v>898</v>
      </c>
      <c r="C43" s="4" t="s">
        <v>32</v>
      </c>
      <c r="D43" s="12">
        <v>1644</v>
      </c>
      <c r="E43" s="12">
        <v>1183</v>
      </c>
      <c r="F43" s="24">
        <v>17.57</v>
      </c>
      <c r="G43" s="13">
        <f t="shared" si="0"/>
        <v>28885.08</v>
      </c>
      <c r="H43" s="14">
        <v>0.85</v>
      </c>
      <c r="I43" s="13">
        <v>19938</v>
      </c>
    </row>
    <row r="44" spans="1:9" x14ac:dyDescent="0.25">
      <c r="A44" s="4" t="s">
        <v>277</v>
      </c>
      <c r="B44" s="4" t="s">
        <v>895</v>
      </c>
      <c r="C44" s="4" t="s">
        <v>237</v>
      </c>
      <c r="D44" s="12">
        <v>72</v>
      </c>
      <c r="E44" s="12">
        <v>49</v>
      </c>
      <c r="F44" s="24">
        <v>1030.1199999999999</v>
      </c>
      <c r="G44" s="13">
        <f t="shared" si="0"/>
        <v>74168.639999999985</v>
      </c>
      <c r="H44" s="14">
        <v>0.83</v>
      </c>
      <c r="I44" s="13">
        <v>50687</v>
      </c>
    </row>
    <row r="45" spans="1:9" x14ac:dyDescent="0.25">
      <c r="A45" s="4" t="s">
        <v>278</v>
      </c>
      <c r="B45" s="4" t="s">
        <v>906</v>
      </c>
      <c r="C45" s="4" t="s">
        <v>237</v>
      </c>
      <c r="D45" s="12">
        <v>1</v>
      </c>
      <c r="E45" s="12">
        <v>0</v>
      </c>
      <c r="F45" s="24">
        <v>89719.17</v>
      </c>
      <c r="G45" s="13">
        <f t="shared" si="0"/>
        <v>89719.17</v>
      </c>
      <c r="H45" s="14">
        <v>0.18</v>
      </c>
      <c r="I45" s="13">
        <v>0</v>
      </c>
    </row>
    <row r="46" spans="1:9" x14ac:dyDescent="0.25">
      <c r="A46" s="4" t="s">
        <v>279</v>
      </c>
      <c r="B46" s="4" t="s">
        <v>881</v>
      </c>
      <c r="C46" s="4" t="s">
        <v>237</v>
      </c>
      <c r="D46" s="12">
        <v>1</v>
      </c>
      <c r="E46" s="12">
        <v>1</v>
      </c>
      <c r="F46" s="24">
        <v>61416.75</v>
      </c>
      <c r="G46" s="13">
        <f t="shared" si="0"/>
        <v>61416.75</v>
      </c>
      <c r="H46" s="14">
        <v>1</v>
      </c>
      <c r="I46" s="13">
        <v>69335</v>
      </c>
    </row>
    <row r="47" spans="1:9" x14ac:dyDescent="0.25">
      <c r="A47" s="4" t="s">
        <v>280</v>
      </c>
      <c r="B47" s="4" t="s">
        <v>908</v>
      </c>
      <c r="C47" s="4" t="s">
        <v>237</v>
      </c>
      <c r="D47" s="12">
        <v>2</v>
      </c>
      <c r="E47" s="12">
        <v>1</v>
      </c>
      <c r="F47" s="24">
        <v>67982.929999999993</v>
      </c>
      <c r="G47" s="13">
        <f t="shared" si="0"/>
        <v>135965.85999999999</v>
      </c>
      <c r="H47" s="14">
        <v>0.56000000000000005</v>
      </c>
      <c r="I47" s="13">
        <v>68207</v>
      </c>
    </row>
    <row r="48" spans="1:9" x14ac:dyDescent="0.25">
      <c r="A48" s="4" t="s">
        <v>281</v>
      </c>
      <c r="B48" s="4" t="s">
        <v>897</v>
      </c>
      <c r="C48" s="4" t="s">
        <v>237</v>
      </c>
      <c r="D48" s="12">
        <v>2</v>
      </c>
      <c r="E48" s="12">
        <v>1</v>
      </c>
      <c r="F48" s="24">
        <v>92590.09</v>
      </c>
      <c r="G48" s="13">
        <f t="shared" si="0"/>
        <v>185180.18</v>
      </c>
      <c r="H48" s="14">
        <v>0.62</v>
      </c>
      <c r="I48" s="13">
        <v>90858</v>
      </c>
    </row>
    <row r="49" spans="1:9" x14ac:dyDescent="0.25">
      <c r="A49" s="4" t="s">
        <v>282</v>
      </c>
      <c r="B49" s="4" t="s">
        <v>884</v>
      </c>
      <c r="C49" s="4" t="s">
        <v>240</v>
      </c>
      <c r="D49" s="12">
        <v>629</v>
      </c>
      <c r="E49" s="12">
        <v>362</v>
      </c>
      <c r="F49" s="24">
        <v>63.52</v>
      </c>
      <c r="G49" s="13">
        <f t="shared" si="0"/>
        <v>39954.080000000002</v>
      </c>
      <c r="H49" s="14">
        <v>0.64</v>
      </c>
      <c r="I49" s="13">
        <v>23003</v>
      </c>
    </row>
    <row r="50" spans="1:9" x14ac:dyDescent="0.25">
      <c r="A50" s="4" t="s">
        <v>283</v>
      </c>
      <c r="B50" s="4" t="s">
        <v>909</v>
      </c>
      <c r="C50" s="4" t="s">
        <v>32</v>
      </c>
      <c r="D50" s="12">
        <v>2835</v>
      </c>
      <c r="E50" s="12">
        <v>1793</v>
      </c>
      <c r="F50" s="24">
        <v>25.16</v>
      </c>
      <c r="G50" s="13">
        <f t="shared" si="0"/>
        <v>71328.600000000006</v>
      </c>
      <c r="H50" s="14">
        <v>0.69</v>
      </c>
      <c r="I50" s="13">
        <v>49844</v>
      </c>
    </row>
    <row r="51" spans="1:9" x14ac:dyDescent="0.25">
      <c r="A51" s="4" t="s">
        <v>284</v>
      </c>
      <c r="B51" s="4" t="s">
        <v>910</v>
      </c>
      <c r="C51" s="4" t="s">
        <v>27</v>
      </c>
      <c r="D51" s="12">
        <v>708</v>
      </c>
      <c r="E51" s="12">
        <v>507</v>
      </c>
      <c r="F51" s="24">
        <v>7.86</v>
      </c>
      <c r="G51" s="13">
        <f t="shared" si="0"/>
        <v>5564.88</v>
      </c>
      <c r="H51" s="14">
        <v>0.89</v>
      </c>
      <c r="I51" s="13">
        <v>4214</v>
      </c>
    </row>
    <row r="52" spans="1:9" x14ac:dyDescent="0.25">
      <c r="A52" s="4" t="s">
        <v>285</v>
      </c>
      <c r="B52" s="4" t="s">
        <v>911</v>
      </c>
      <c r="C52" s="4" t="s">
        <v>240</v>
      </c>
      <c r="D52" s="12">
        <v>652</v>
      </c>
      <c r="E52" s="12">
        <v>337</v>
      </c>
      <c r="F52" s="24">
        <v>59.41</v>
      </c>
      <c r="G52" s="13">
        <f t="shared" si="0"/>
        <v>38735.32</v>
      </c>
      <c r="H52" s="14">
        <v>0.65</v>
      </c>
      <c r="I52" s="13">
        <v>21081</v>
      </c>
    </row>
    <row r="53" spans="1:9" x14ac:dyDescent="0.25">
      <c r="A53" s="4" t="s">
        <v>286</v>
      </c>
      <c r="B53" s="4" t="s">
        <v>903</v>
      </c>
      <c r="C53" s="4" t="s">
        <v>237</v>
      </c>
      <c r="D53" s="12">
        <v>1</v>
      </c>
      <c r="E53" s="12">
        <v>1</v>
      </c>
      <c r="F53" s="24">
        <v>73079.77</v>
      </c>
      <c r="G53" s="13">
        <f t="shared" si="0"/>
        <v>73079.77</v>
      </c>
      <c r="H53" s="14">
        <v>1</v>
      </c>
      <c r="I53" s="13">
        <v>70293</v>
      </c>
    </row>
    <row r="54" spans="1:9" x14ac:dyDescent="0.25">
      <c r="A54" s="4" t="s">
        <v>287</v>
      </c>
      <c r="B54" s="4" t="s">
        <v>912</v>
      </c>
      <c r="C54" s="4" t="s">
        <v>240</v>
      </c>
      <c r="D54" s="12">
        <v>2909</v>
      </c>
      <c r="E54" s="12">
        <v>1524</v>
      </c>
      <c r="F54" s="24">
        <v>60.11</v>
      </c>
      <c r="G54" s="13">
        <f t="shared" si="0"/>
        <v>174859.99</v>
      </c>
      <c r="H54" s="14">
        <v>0.7</v>
      </c>
      <c r="I54" s="13">
        <v>97667</v>
      </c>
    </row>
    <row r="55" spans="1:9" x14ac:dyDescent="0.25">
      <c r="A55" s="4" t="s">
        <v>288</v>
      </c>
      <c r="B55" s="4" t="s">
        <v>913</v>
      </c>
      <c r="C55" s="4" t="s">
        <v>237</v>
      </c>
      <c r="D55" s="12">
        <v>2</v>
      </c>
      <c r="E55" s="12">
        <v>2</v>
      </c>
      <c r="F55" s="24">
        <v>76319.08</v>
      </c>
      <c r="G55" s="13">
        <f t="shared" si="0"/>
        <v>152638.16</v>
      </c>
      <c r="H55" s="14">
        <v>1</v>
      </c>
      <c r="I55" s="13">
        <v>171983</v>
      </c>
    </row>
    <row r="56" spans="1:9" x14ac:dyDescent="0.25">
      <c r="A56" s="4" t="s">
        <v>289</v>
      </c>
      <c r="B56" s="4" t="s">
        <v>902</v>
      </c>
      <c r="C56" s="4" t="s">
        <v>32</v>
      </c>
      <c r="D56" s="12">
        <v>2911</v>
      </c>
      <c r="E56" s="12">
        <v>1819</v>
      </c>
      <c r="F56" s="24">
        <v>2.97</v>
      </c>
      <c r="G56" s="13">
        <f t="shared" si="0"/>
        <v>8645.67</v>
      </c>
      <c r="H56" s="14">
        <v>0.73</v>
      </c>
      <c r="I56" s="13">
        <v>5223</v>
      </c>
    </row>
    <row r="57" spans="1:9" x14ac:dyDescent="0.25">
      <c r="A57" s="4" t="s">
        <v>290</v>
      </c>
      <c r="B57" s="4" t="s">
        <v>901</v>
      </c>
      <c r="C57" s="4" t="s">
        <v>237</v>
      </c>
      <c r="D57" s="12">
        <v>2</v>
      </c>
      <c r="E57" s="12">
        <v>2</v>
      </c>
      <c r="F57" s="24">
        <v>129677.03</v>
      </c>
      <c r="G57" s="13">
        <f t="shared" si="0"/>
        <v>259354.06</v>
      </c>
      <c r="H57" s="14">
        <v>1</v>
      </c>
      <c r="I57" s="13">
        <v>259831</v>
      </c>
    </row>
    <row r="58" spans="1:9" x14ac:dyDescent="0.25">
      <c r="A58" s="4" t="s">
        <v>291</v>
      </c>
      <c r="B58" s="4" t="s">
        <v>889</v>
      </c>
      <c r="C58" s="4" t="s">
        <v>27</v>
      </c>
      <c r="D58" s="12">
        <v>1665</v>
      </c>
      <c r="E58" s="12">
        <v>1143</v>
      </c>
      <c r="F58" s="24">
        <v>9.74</v>
      </c>
      <c r="G58" s="13">
        <f t="shared" si="0"/>
        <v>16217.1</v>
      </c>
      <c r="H58" s="14">
        <v>0.79</v>
      </c>
      <c r="I58" s="13">
        <v>11165</v>
      </c>
    </row>
    <row r="59" spans="1:9" x14ac:dyDescent="0.25">
      <c r="A59" s="4" t="s">
        <v>292</v>
      </c>
      <c r="B59" s="4" t="s">
        <v>914</v>
      </c>
      <c r="C59" s="4" t="s">
        <v>32</v>
      </c>
      <c r="D59" s="12">
        <v>2305</v>
      </c>
      <c r="E59" s="12">
        <v>2014</v>
      </c>
      <c r="F59" s="24">
        <v>2.67</v>
      </c>
      <c r="G59" s="13">
        <f t="shared" si="0"/>
        <v>6154.3499999999995</v>
      </c>
      <c r="H59" s="14">
        <v>1</v>
      </c>
      <c r="I59" s="13">
        <v>5345</v>
      </c>
    </row>
    <row r="60" spans="1:9" x14ac:dyDescent="0.25">
      <c r="A60" s="4" t="s">
        <v>293</v>
      </c>
      <c r="B60" s="4" t="s">
        <v>910</v>
      </c>
      <c r="C60" s="4" t="s">
        <v>27</v>
      </c>
      <c r="D60" s="12">
        <v>559</v>
      </c>
      <c r="E60" s="12">
        <v>337</v>
      </c>
      <c r="F60" s="24">
        <v>8.17</v>
      </c>
      <c r="G60" s="13">
        <f t="shared" si="0"/>
        <v>4567.03</v>
      </c>
      <c r="H60" s="14">
        <v>0.68</v>
      </c>
      <c r="I60" s="13">
        <v>3119</v>
      </c>
    </row>
    <row r="61" spans="1:9" x14ac:dyDescent="0.25">
      <c r="A61" s="4" t="s">
        <v>294</v>
      </c>
      <c r="B61" s="4" t="s">
        <v>915</v>
      </c>
      <c r="C61" s="4" t="s">
        <v>45</v>
      </c>
      <c r="D61" s="12">
        <v>11611</v>
      </c>
      <c r="E61" s="12">
        <v>6976</v>
      </c>
      <c r="F61" s="24">
        <v>1.29</v>
      </c>
      <c r="G61" s="13">
        <f t="shared" si="0"/>
        <v>14978.19</v>
      </c>
      <c r="H61" s="14">
        <v>0.71</v>
      </c>
      <c r="I61" s="13">
        <v>9349</v>
      </c>
    </row>
    <row r="62" spans="1:9" x14ac:dyDescent="0.25">
      <c r="A62" s="4" t="s">
        <v>295</v>
      </c>
      <c r="B62" s="4" t="s">
        <v>898</v>
      </c>
      <c r="C62" s="4" t="s">
        <v>32</v>
      </c>
      <c r="D62" s="12">
        <v>1478</v>
      </c>
      <c r="E62" s="12">
        <v>1318</v>
      </c>
      <c r="F62" s="24">
        <v>26.09</v>
      </c>
      <c r="G62" s="13">
        <f t="shared" si="0"/>
        <v>38561.019999999997</v>
      </c>
      <c r="H62" s="14">
        <v>1</v>
      </c>
      <c r="I62" s="13">
        <v>34037</v>
      </c>
    </row>
    <row r="63" spans="1:9" x14ac:dyDescent="0.25">
      <c r="A63" s="4" t="s">
        <v>296</v>
      </c>
      <c r="B63" s="4" t="s">
        <v>902</v>
      </c>
      <c r="C63" s="4" t="s">
        <v>32</v>
      </c>
      <c r="D63" s="12">
        <v>2543</v>
      </c>
      <c r="E63" s="12">
        <v>2189</v>
      </c>
      <c r="F63" s="24">
        <v>5.54</v>
      </c>
      <c r="G63" s="13">
        <f t="shared" si="0"/>
        <v>14088.22</v>
      </c>
      <c r="H63" s="14">
        <v>1</v>
      </c>
      <c r="I63" s="13">
        <v>12620</v>
      </c>
    </row>
    <row r="64" spans="1:9" x14ac:dyDescent="0.25">
      <c r="A64" s="4" t="s">
        <v>297</v>
      </c>
      <c r="B64" s="4" t="s">
        <v>916</v>
      </c>
      <c r="C64" s="4" t="s">
        <v>237</v>
      </c>
      <c r="D64" s="12">
        <v>30</v>
      </c>
      <c r="E64" s="12">
        <v>25</v>
      </c>
      <c r="F64" s="24">
        <v>1369.67</v>
      </c>
      <c r="G64" s="13">
        <f t="shared" si="0"/>
        <v>41090.100000000006</v>
      </c>
      <c r="H64" s="14">
        <v>0.88</v>
      </c>
      <c r="I64" s="13">
        <v>33147</v>
      </c>
    </row>
    <row r="65" spans="1:9" x14ac:dyDescent="0.25">
      <c r="A65" s="4" t="s">
        <v>298</v>
      </c>
      <c r="B65" s="4" t="s">
        <v>908</v>
      </c>
      <c r="C65" s="4" t="s">
        <v>237</v>
      </c>
      <c r="D65" s="12">
        <v>2</v>
      </c>
      <c r="E65" s="12">
        <v>1</v>
      </c>
      <c r="F65" s="24">
        <v>132999.41</v>
      </c>
      <c r="G65" s="13">
        <f t="shared" si="0"/>
        <v>265998.82</v>
      </c>
      <c r="H65" s="14">
        <v>0.69</v>
      </c>
      <c r="I65" s="13">
        <v>142806</v>
      </c>
    </row>
    <row r="66" spans="1:9" x14ac:dyDescent="0.25">
      <c r="A66" s="4" t="s">
        <v>299</v>
      </c>
      <c r="B66" s="4" t="s">
        <v>917</v>
      </c>
      <c r="C66" s="4" t="s">
        <v>237</v>
      </c>
      <c r="D66" s="12">
        <v>40</v>
      </c>
      <c r="E66" s="12">
        <v>35</v>
      </c>
      <c r="F66" s="24">
        <v>1216.31</v>
      </c>
      <c r="G66" s="13">
        <f t="shared" si="0"/>
        <v>48652.399999999994</v>
      </c>
      <c r="H66" s="14">
        <v>0.95</v>
      </c>
      <c r="I66" s="13">
        <v>40329</v>
      </c>
    </row>
    <row r="67" spans="1:9" x14ac:dyDescent="0.25">
      <c r="A67" s="4" t="s">
        <v>300</v>
      </c>
      <c r="B67" s="4" t="s">
        <v>882</v>
      </c>
      <c r="C67" s="4" t="s">
        <v>237</v>
      </c>
      <c r="D67" s="12">
        <v>69</v>
      </c>
      <c r="E67" s="12">
        <v>44</v>
      </c>
      <c r="F67" s="24">
        <v>738.01</v>
      </c>
      <c r="G67" s="13">
        <f t="shared" si="0"/>
        <v>50922.69</v>
      </c>
      <c r="H67" s="14">
        <v>0.78</v>
      </c>
      <c r="I67" s="13">
        <v>31494</v>
      </c>
    </row>
    <row r="68" spans="1:9" x14ac:dyDescent="0.25">
      <c r="A68" s="4" t="s">
        <v>301</v>
      </c>
      <c r="B68" s="4" t="s">
        <v>914</v>
      </c>
      <c r="C68" s="4" t="s">
        <v>32</v>
      </c>
      <c r="D68" s="12">
        <v>2983</v>
      </c>
      <c r="E68" s="12">
        <v>1832</v>
      </c>
      <c r="F68" s="24">
        <v>5.37</v>
      </c>
      <c r="G68" s="13">
        <f t="shared" si="0"/>
        <v>16018.710000000001</v>
      </c>
      <c r="H68" s="14">
        <v>0.74</v>
      </c>
      <c r="I68" s="13">
        <v>10524</v>
      </c>
    </row>
    <row r="69" spans="1:9" x14ac:dyDescent="0.25">
      <c r="A69" s="4" t="s">
        <v>302</v>
      </c>
      <c r="B69" s="4" t="s">
        <v>900</v>
      </c>
      <c r="C69" s="4" t="s">
        <v>27</v>
      </c>
      <c r="D69" s="12">
        <v>1166</v>
      </c>
      <c r="E69" s="12">
        <v>561</v>
      </c>
      <c r="F69" s="24">
        <v>11.25</v>
      </c>
      <c r="G69" s="13">
        <f t="shared" ref="G69:G132" si="1">D69*F69</f>
        <v>13117.5</v>
      </c>
      <c r="H69" s="14">
        <v>0.59</v>
      </c>
      <c r="I69" s="13">
        <v>6739</v>
      </c>
    </row>
    <row r="70" spans="1:9" x14ac:dyDescent="0.25">
      <c r="A70" s="4" t="s">
        <v>303</v>
      </c>
      <c r="B70" s="4" t="s">
        <v>883</v>
      </c>
      <c r="C70" s="4" t="s">
        <v>240</v>
      </c>
      <c r="D70" s="12">
        <v>508</v>
      </c>
      <c r="E70" s="12">
        <v>344</v>
      </c>
      <c r="F70" s="24">
        <v>56</v>
      </c>
      <c r="G70" s="13">
        <f t="shared" si="1"/>
        <v>28448</v>
      </c>
      <c r="H70" s="14">
        <v>0.72</v>
      </c>
      <c r="I70" s="13">
        <v>21033</v>
      </c>
    </row>
    <row r="71" spans="1:9" x14ac:dyDescent="0.25">
      <c r="A71" s="4" t="s">
        <v>304</v>
      </c>
      <c r="B71" s="4" t="s">
        <v>882</v>
      </c>
      <c r="C71" s="4" t="s">
        <v>237</v>
      </c>
      <c r="D71" s="12">
        <v>93</v>
      </c>
      <c r="E71" s="12">
        <v>48</v>
      </c>
      <c r="F71" s="24">
        <v>1375.07</v>
      </c>
      <c r="G71" s="13">
        <f t="shared" si="1"/>
        <v>127881.51</v>
      </c>
      <c r="H71" s="14">
        <v>0.71</v>
      </c>
      <c r="I71" s="13">
        <v>74002</v>
      </c>
    </row>
    <row r="72" spans="1:9" x14ac:dyDescent="0.25">
      <c r="A72" s="4" t="s">
        <v>305</v>
      </c>
      <c r="B72" s="4" t="s">
        <v>887</v>
      </c>
      <c r="C72" s="4" t="s">
        <v>32</v>
      </c>
      <c r="D72" s="12">
        <v>2950</v>
      </c>
      <c r="E72" s="12">
        <v>2358</v>
      </c>
      <c r="F72" s="24">
        <v>4.29</v>
      </c>
      <c r="G72" s="13">
        <f t="shared" si="1"/>
        <v>12655.5</v>
      </c>
      <c r="H72" s="14">
        <v>0.99</v>
      </c>
      <c r="I72" s="13">
        <v>11437</v>
      </c>
    </row>
    <row r="73" spans="1:9" x14ac:dyDescent="0.25">
      <c r="A73" s="4" t="s">
        <v>306</v>
      </c>
      <c r="B73" s="4" t="s">
        <v>903</v>
      </c>
      <c r="C73" s="4" t="s">
        <v>237</v>
      </c>
      <c r="D73" s="12">
        <v>1</v>
      </c>
      <c r="E73" s="12">
        <v>1</v>
      </c>
      <c r="F73" s="24">
        <v>62927.96</v>
      </c>
      <c r="G73" s="13">
        <f t="shared" si="1"/>
        <v>62927.96</v>
      </c>
      <c r="H73" s="14">
        <v>1</v>
      </c>
      <c r="I73" s="13">
        <v>69172</v>
      </c>
    </row>
    <row r="74" spans="1:9" x14ac:dyDescent="0.25">
      <c r="A74" s="4" t="s">
        <v>307</v>
      </c>
      <c r="B74" s="4" t="s">
        <v>918</v>
      </c>
      <c r="C74" s="4" t="s">
        <v>237</v>
      </c>
      <c r="D74" s="12">
        <v>1</v>
      </c>
      <c r="E74" s="12">
        <v>1</v>
      </c>
      <c r="F74" s="24">
        <v>109342.54</v>
      </c>
      <c r="G74" s="13">
        <f t="shared" si="1"/>
        <v>109342.54</v>
      </c>
      <c r="H74" s="14">
        <v>1</v>
      </c>
      <c r="I74" s="13">
        <v>115733</v>
      </c>
    </row>
    <row r="75" spans="1:9" x14ac:dyDescent="0.25">
      <c r="A75" s="4" t="s">
        <v>308</v>
      </c>
      <c r="B75" s="4" t="s">
        <v>883</v>
      </c>
      <c r="C75" s="4" t="s">
        <v>240</v>
      </c>
      <c r="D75" s="12">
        <v>526</v>
      </c>
      <c r="E75" s="12">
        <v>446</v>
      </c>
      <c r="F75" s="24">
        <v>41.69</v>
      </c>
      <c r="G75" s="13">
        <f t="shared" si="1"/>
        <v>21928.94</v>
      </c>
      <c r="H75" s="14">
        <v>1</v>
      </c>
      <c r="I75" s="13">
        <v>19225</v>
      </c>
    </row>
    <row r="76" spans="1:9" x14ac:dyDescent="0.25">
      <c r="A76" s="4" t="s">
        <v>309</v>
      </c>
      <c r="B76" s="4" t="s">
        <v>892</v>
      </c>
      <c r="C76" s="4" t="s">
        <v>240</v>
      </c>
      <c r="D76" s="12">
        <v>677</v>
      </c>
      <c r="E76" s="12">
        <v>315</v>
      </c>
      <c r="F76" s="24">
        <v>66.84</v>
      </c>
      <c r="G76" s="13">
        <f t="shared" si="1"/>
        <v>45250.68</v>
      </c>
      <c r="H76" s="14">
        <v>0.61</v>
      </c>
      <c r="I76" s="13">
        <v>23608</v>
      </c>
    </row>
    <row r="77" spans="1:9" x14ac:dyDescent="0.25">
      <c r="A77" s="4" t="s">
        <v>310</v>
      </c>
      <c r="B77" s="4" t="s">
        <v>891</v>
      </c>
      <c r="C77" s="4" t="s">
        <v>32</v>
      </c>
      <c r="D77" s="12">
        <v>1216</v>
      </c>
      <c r="E77" s="12">
        <v>693</v>
      </c>
      <c r="F77" s="24">
        <v>27.58</v>
      </c>
      <c r="G77" s="13">
        <f t="shared" si="1"/>
        <v>33537.279999999999</v>
      </c>
      <c r="H77" s="14">
        <v>0.72</v>
      </c>
      <c r="I77" s="13">
        <v>20177</v>
      </c>
    </row>
    <row r="78" spans="1:9" x14ac:dyDescent="0.25">
      <c r="A78" s="4" t="s">
        <v>311</v>
      </c>
      <c r="B78" s="4" t="s">
        <v>918</v>
      </c>
      <c r="C78" s="4" t="s">
        <v>237</v>
      </c>
      <c r="D78" s="12">
        <v>2</v>
      </c>
      <c r="E78" s="12">
        <v>1</v>
      </c>
      <c r="F78" s="24">
        <v>92144.11</v>
      </c>
      <c r="G78" s="13">
        <f t="shared" si="1"/>
        <v>184288.22</v>
      </c>
      <c r="H78" s="14">
        <v>0.63</v>
      </c>
      <c r="I78" s="13">
        <v>89150</v>
      </c>
    </row>
    <row r="79" spans="1:9" x14ac:dyDescent="0.25">
      <c r="A79" s="4" t="s">
        <v>312</v>
      </c>
      <c r="B79" s="4" t="s">
        <v>919</v>
      </c>
      <c r="C79" s="4" t="s">
        <v>237</v>
      </c>
      <c r="D79" s="12">
        <v>34</v>
      </c>
      <c r="E79" s="12">
        <v>29</v>
      </c>
      <c r="F79" s="24">
        <v>400.48</v>
      </c>
      <c r="G79" s="13">
        <f t="shared" si="1"/>
        <v>13616.32</v>
      </c>
      <c r="H79" s="14">
        <v>0.99</v>
      </c>
      <c r="I79" s="13">
        <v>11457</v>
      </c>
    </row>
    <row r="80" spans="1:9" x14ac:dyDescent="0.25">
      <c r="A80" s="4" t="s">
        <v>313</v>
      </c>
      <c r="B80" s="4" t="s">
        <v>918</v>
      </c>
      <c r="C80" s="4" t="s">
        <v>237</v>
      </c>
      <c r="D80" s="12">
        <v>2</v>
      </c>
      <c r="E80" s="12">
        <v>1</v>
      </c>
      <c r="F80" s="24">
        <v>118909.49</v>
      </c>
      <c r="G80" s="13">
        <f t="shared" si="1"/>
        <v>237818.98</v>
      </c>
      <c r="H80" s="14">
        <v>0.62</v>
      </c>
      <c r="I80" s="13">
        <v>118783</v>
      </c>
    </row>
    <row r="81" spans="1:9" x14ac:dyDescent="0.25">
      <c r="A81" s="4" t="s">
        <v>314</v>
      </c>
      <c r="B81" s="4" t="s">
        <v>899</v>
      </c>
      <c r="C81" s="4" t="s">
        <v>237</v>
      </c>
      <c r="D81" s="12">
        <v>1</v>
      </c>
      <c r="E81" s="12">
        <v>1</v>
      </c>
      <c r="F81" s="24">
        <v>105696.35</v>
      </c>
      <c r="G81" s="13">
        <f t="shared" si="1"/>
        <v>105696.35</v>
      </c>
      <c r="H81" s="14">
        <v>1</v>
      </c>
      <c r="I81" s="13">
        <v>115111</v>
      </c>
    </row>
    <row r="82" spans="1:9" x14ac:dyDescent="0.25">
      <c r="A82" s="4" t="s">
        <v>315</v>
      </c>
      <c r="B82" s="4" t="s">
        <v>902</v>
      </c>
      <c r="C82" s="4" t="s">
        <v>32</v>
      </c>
      <c r="D82" s="12">
        <v>1469</v>
      </c>
      <c r="E82" s="12">
        <v>1290</v>
      </c>
      <c r="F82" s="24">
        <v>2.48</v>
      </c>
      <c r="G82" s="13">
        <f t="shared" si="1"/>
        <v>3643.12</v>
      </c>
      <c r="H82" s="14">
        <v>0.96</v>
      </c>
      <c r="I82" s="13">
        <v>3067</v>
      </c>
    </row>
    <row r="83" spans="1:9" x14ac:dyDescent="0.25">
      <c r="A83" s="4" t="s">
        <v>316</v>
      </c>
      <c r="B83" s="4" t="s">
        <v>920</v>
      </c>
      <c r="C83" s="4" t="s">
        <v>45</v>
      </c>
      <c r="D83" s="12">
        <v>5586</v>
      </c>
      <c r="E83" s="12">
        <v>3281</v>
      </c>
      <c r="F83" s="24">
        <v>1.34</v>
      </c>
      <c r="G83" s="13">
        <f t="shared" si="1"/>
        <v>7485.2400000000007</v>
      </c>
      <c r="H83" s="14">
        <v>0.73</v>
      </c>
      <c r="I83" s="13">
        <v>4807</v>
      </c>
    </row>
    <row r="84" spans="1:9" x14ac:dyDescent="0.25">
      <c r="A84" s="4" t="s">
        <v>317</v>
      </c>
      <c r="B84" s="4" t="s">
        <v>898</v>
      </c>
      <c r="C84" s="4" t="s">
        <v>32</v>
      </c>
      <c r="D84" s="12">
        <v>2865</v>
      </c>
      <c r="E84" s="12">
        <v>1444</v>
      </c>
      <c r="F84" s="24">
        <v>23.16</v>
      </c>
      <c r="G84" s="13">
        <f t="shared" si="1"/>
        <v>66353.399999999994</v>
      </c>
      <c r="H84" s="14">
        <v>0.64</v>
      </c>
      <c r="I84" s="13">
        <v>34667</v>
      </c>
    </row>
    <row r="85" spans="1:9" x14ac:dyDescent="0.25">
      <c r="A85" s="4" t="s">
        <v>318</v>
      </c>
      <c r="B85" s="4" t="s">
        <v>884</v>
      </c>
      <c r="C85" s="4" t="s">
        <v>240</v>
      </c>
      <c r="D85" s="12">
        <v>2091</v>
      </c>
      <c r="E85" s="12">
        <v>1841</v>
      </c>
      <c r="F85" s="24">
        <v>41.32</v>
      </c>
      <c r="G85" s="13">
        <f t="shared" si="1"/>
        <v>86400.12</v>
      </c>
      <c r="H85" s="14">
        <v>1</v>
      </c>
      <c r="I85" s="13">
        <v>81290</v>
      </c>
    </row>
    <row r="86" spans="1:9" x14ac:dyDescent="0.25">
      <c r="A86" s="4" t="s">
        <v>319</v>
      </c>
      <c r="B86" s="4" t="s">
        <v>921</v>
      </c>
      <c r="C86" s="4" t="s">
        <v>237</v>
      </c>
      <c r="D86" s="12">
        <v>2</v>
      </c>
      <c r="E86" s="12">
        <v>1</v>
      </c>
      <c r="F86" s="24">
        <v>118318.21</v>
      </c>
      <c r="G86" s="13">
        <f t="shared" si="1"/>
        <v>236636.42</v>
      </c>
      <c r="H86" s="14">
        <v>0.61</v>
      </c>
      <c r="I86" s="13">
        <v>115864</v>
      </c>
    </row>
    <row r="87" spans="1:9" x14ac:dyDescent="0.25">
      <c r="A87" s="4" t="s">
        <v>320</v>
      </c>
      <c r="B87" s="4" t="s">
        <v>916</v>
      </c>
      <c r="C87" s="4" t="s">
        <v>237</v>
      </c>
      <c r="D87" s="12">
        <v>111</v>
      </c>
      <c r="E87" s="12">
        <v>77</v>
      </c>
      <c r="F87" s="24">
        <v>1349.28</v>
      </c>
      <c r="G87" s="13">
        <f t="shared" si="1"/>
        <v>149770.07999999999</v>
      </c>
      <c r="H87" s="14">
        <v>0.76</v>
      </c>
      <c r="I87" s="13">
        <v>111862</v>
      </c>
    </row>
    <row r="88" spans="1:9" x14ac:dyDescent="0.25">
      <c r="A88" s="4" t="s">
        <v>321</v>
      </c>
      <c r="B88" s="4" t="s">
        <v>896</v>
      </c>
      <c r="C88" s="4" t="s">
        <v>45</v>
      </c>
      <c r="D88" s="12">
        <v>9582</v>
      </c>
      <c r="E88" s="12">
        <v>4846</v>
      </c>
      <c r="F88" s="24">
        <v>1.17</v>
      </c>
      <c r="G88" s="13">
        <f t="shared" si="1"/>
        <v>11210.939999999999</v>
      </c>
      <c r="H88" s="14">
        <v>0.56999999999999995</v>
      </c>
      <c r="I88" s="13">
        <v>5372</v>
      </c>
    </row>
    <row r="89" spans="1:9" x14ac:dyDescent="0.25">
      <c r="A89" s="4" t="s">
        <v>322</v>
      </c>
      <c r="B89" s="4" t="s">
        <v>916</v>
      </c>
      <c r="C89" s="4" t="s">
        <v>237</v>
      </c>
      <c r="D89" s="12">
        <v>56</v>
      </c>
      <c r="E89" s="12">
        <v>33</v>
      </c>
      <c r="F89" s="24">
        <v>1234.67</v>
      </c>
      <c r="G89" s="13">
        <f t="shared" si="1"/>
        <v>69141.52</v>
      </c>
      <c r="H89" s="14">
        <v>0.69</v>
      </c>
      <c r="I89" s="13">
        <v>40101</v>
      </c>
    </row>
    <row r="90" spans="1:9" x14ac:dyDescent="0.25">
      <c r="A90" s="4" t="s">
        <v>323</v>
      </c>
      <c r="B90" s="4" t="s">
        <v>911</v>
      </c>
      <c r="C90" s="4" t="s">
        <v>240</v>
      </c>
      <c r="D90" s="12">
        <v>1824</v>
      </c>
      <c r="E90" s="12">
        <v>1057</v>
      </c>
      <c r="F90" s="24">
        <v>57.94</v>
      </c>
      <c r="G90" s="13">
        <f t="shared" si="1"/>
        <v>105682.56</v>
      </c>
      <c r="H90" s="14">
        <v>0.66</v>
      </c>
      <c r="I90" s="13">
        <v>69145</v>
      </c>
    </row>
    <row r="91" spans="1:9" x14ac:dyDescent="0.25">
      <c r="A91" s="4" t="s">
        <v>324</v>
      </c>
      <c r="B91" s="4" t="s">
        <v>913</v>
      </c>
      <c r="C91" s="4" t="s">
        <v>237</v>
      </c>
      <c r="D91" s="12">
        <v>2</v>
      </c>
      <c r="E91" s="12">
        <v>1</v>
      </c>
      <c r="F91" s="24">
        <v>107910.03</v>
      </c>
      <c r="G91" s="13">
        <f t="shared" si="1"/>
        <v>215820.06</v>
      </c>
      <c r="H91" s="14">
        <v>0.63</v>
      </c>
      <c r="I91" s="13">
        <v>118329</v>
      </c>
    </row>
    <row r="92" spans="1:9" x14ac:dyDescent="0.25">
      <c r="A92" s="4" t="s">
        <v>325</v>
      </c>
      <c r="B92" s="4" t="s">
        <v>920</v>
      </c>
      <c r="C92" s="4" t="s">
        <v>45</v>
      </c>
      <c r="D92" s="12">
        <v>22940</v>
      </c>
      <c r="E92" s="12">
        <v>18992</v>
      </c>
      <c r="F92" s="24">
        <v>1.47</v>
      </c>
      <c r="G92" s="13">
        <f t="shared" si="1"/>
        <v>33721.800000000003</v>
      </c>
      <c r="H92" s="14">
        <v>0.97</v>
      </c>
      <c r="I92" s="13">
        <v>29254</v>
      </c>
    </row>
    <row r="93" spans="1:9" x14ac:dyDescent="0.25">
      <c r="A93" s="4" t="s">
        <v>326</v>
      </c>
      <c r="B93" s="4" t="s">
        <v>882</v>
      </c>
      <c r="C93" s="4" t="s">
        <v>237</v>
      </c>
      <c r="D93" s="12">
        <v>109</v>
      </c>
      <c r="E93" s="12">
        <v>77</v>
      </c>
      <c r="F93" s="24">
        <v>626.88</v>
      </c>
      <c r="G93" s="13">
        <f t="shared" si="1"/>
        <v>68329.919999999998</v>
      </c>
      <c r="H93" s="14">
        <v>0.85</v>
      </c>
      <c r="I93" s="13">
        <v>47905</v>
      </c>
    </row>
    <row r="94" spans="1:9" x14ac:dyDescent="0.25">
      <c r="A94" s="4" t="s">
        <v>327</v>
      </c>
      <c r="B94" s="4" t="s">
        <v>901</v>
      </c>
      <c r="C94" s="4" t="s">
        <v>237</v>
      </c>
      <c r="D94" s="12">
        <v>1</v>
      </c>
      <c r="E94" s="12">
        <v>1</v>
      </c>
      <c r="F94" s="24">
        <v>119862.65</v>
      </c>
      <c r="G94" s="13">
        <f t="shared" si="1"/>
        <v>119862.65</v>
      </c>
      <c r="H94" s="14">
        <v>1</v>
      </c>
      <c r="I94" s="13">
        <v>122017</v>
      </c>
    </row>
    <row r="95" spans="1:9" x14ac:dyDescent="0.25">
      <c r="A95" s="4" t="s">
        <v>328</v>
      </c>
      <c r="B95" s="4" t="s">
        <v>890</v>
      </c>
      <c r="C95" s="4" t="s">
        <v>237</v>
      </c>
      <c r="D95" s="12">
        <v>2</v>
      </c>
      <c r="E95" s="12">
        <v>2</v>
      </c>
      <c r="F95" s="24">
        <v>110120.43</v>
      </c>
      <c r="G95" s="13">
        <f t="shared" si="1"/>
        <v>220240.86</v>
      </c>
      <c r="H95" s="14">
        <v>1</v>
      </c>
      <c r="I95" s="13">
        <v>216218</v>
      </c>
    </row>
    <row r="96" spans="1:9" x14ac:dyDescent="0.25">
      <c r="A96" s="4" t="s">
        <v>329</v>
      </c>
      <c r="B96" s="4" t="s">
        <v>914</v>
      </c>
      <c r="C96" s="4" t="s">
        <v>32</v>
      </c>
      <c r="D96" s="12">
        <v>752</v>
      </c>
      <c r="E96" s="12">
        <v>494</v>
      </c>
      <c r="F96" s="24">
        <v>3.77</v>
      </c>
      <c r="G96" s="13">
        <f t="shared" si="1"/>
        <v>2835.04</v>
      </c>
      <c r="H96" s="14">
        <v>0.78</v>
      </c>
      <c r="I96" s="13">
        <v>2018</v>
      </c>
    </row>
    <row r="97" spans="1:9" x14ac:dyDescent="0.25">
      <c r="A97" s="4" t="s">
        <v>330</v>
      </c>
      <c r="B97" s="4" t="s">
        <v>904</v>
      </c>
      <c r="C97" s="4" t="s">
        <v>240</v>
      </c>
      <c r="D97" s="12">
        <v>1923</v>
      </c>
      <c r="E97" s="12">
        <v>1396</v>
      </c>
      <c r="F97" s="24">
        <v>47.64</v>
      </c>
      <c r="G97" s="13">
        <f t="shared" si="1"/>
        <v>91611.72</v>
      </c>
      <c r="H97" s="14">
        <v>0.84</v>
      </c>
      <c r="I97" s="13">
        <v>64528</v>
      </c>
    </row>
    <row r="98" spans="1:9" x14ac:dyDescent="0.25">
      <c r="A98" s="4" t="s">
        <v>331</v>
      </c>
      <c r="B98" s="4" t="s">
        <v>886</v>
      </c>
      <c r="C98" s="4" t="s">
        <v>32</v>
      </c>
      <c r="D98" s="12">
        <v>2632</v>
      </c>
      <c r="E98" s="12">
        <v>1552</v>
      </c>
      <c r="F98" s="24">
        <v>4.0199999999999996</v>
      </c>
      <c r="G98" s="13">
        <f t="shared" si="1"/>
        <v>10580.64</v>
      </c>
      <c r="H98" s="14">
        <v>0.67</v>
      </c>
      <c r="I98" s="13">
        <v>6872</v>
      </c>
    </row>
    <row r="99" spans="1:9" x14ac:dyDescent="0.25">
      <c r="A99" s="4" t="s">
        <v>332</v>
      </c>
      <c r="B99" s="4" t="s">
        <v>895</v>
      </c>
      <c r="C99" s="4" t="s">
        <v>237</v>
      </c>
      <c r="D99" s="12">
        <v>78</v>
      </c>
      <c r="E99" s="12">
        <v>43</v>
      </c>
      <c r="F99" s="24">
        <v>507.02</v>
      </c>
      <c r="G99" s="13">
        <f t="shared" si="1"/>
        <v>39547.56</v>
      </c>
      <c r="H99" s="14">
        <v>0.67</v>
      </c>
      <c r="I99" s="13">
        <v>21247</v>
      </c>
    </row>
    <row r="100" spans="1:9" x14ac:dyDescent="0.25">
      <c r="A100" s="4" t="s">
        <v>333</v>
      </c>
      <c r="B100" s="4" t="s">
        <v>884</v>
      </c>
      <c r="C100" s="4" t="s">
        <v>240</v>
      </c>
      <c r="D100" s="12">
        <v>1827</v>
      </c>
      <c r="E100" s="12">
        <v>1137</v>
      </c>
      <c r="F100" s="24">
        <v>61.22</v>
      </c>
      <c r="G100" s="13">
        <f t="shared" si="1"/>
        <v>111848.94</v>
      </c>
      <c r="H100" s="14">
        <v>0.76</v>
      </c>
      <c r="I100" s="13">
        <v>70367</v>
      </c>
    </row>
    <row r="101" spans="1:9" x14ac:dyDescent="0.25">
      <c r="A101" s="4" t="s">
        <v>334</v>
      </c>
      <c r="B101" s="4" t="s">
        <v>908</v>
      </c>
      <c r="C101" s="4" t="s">
        <v>237</v>
      </c>
      <c r="D101" s="12">
        <v>2</v>
      </c>
      <c r="E101" s="12">
        <v>1</v>
      </c>
      <c r="F101" s="24">
        <v>113499.85</v>
      </c>
      <c r="G101" s="13">
        <f t="shared" si="1"/>
        <v>226999.7</v>
      </c>
      <c r="H101" s="14">
        <v>0.6</v>
      </c>
      <c r="I101" s="13">
        <v>117554</v>
      </c>
    </row>
    <row r="102" spans="1:9" x14ac:dyDescent="0.25">
      <c r="A102" s="4" t="s">
        <v>335</v>
      </c>
      <c r="B102" s="4" t="s">
        <v>922</v>
      </c>
      <c r="C102" s="4" t="s">
        <v>32</v>
      </c>
      <c r="D102" s="12">
        <v>1094</v>
      </c>
      <c r="E102" s="12">
        <v>917</v>
      </c>
      <c r="F102" s="24">
        <v>22.59</v>
      </c>
      <c r="G102" s="13">
        <f t="shared" si="1"/>
        <v>24713.46</v>
      </c>
      <c r="H102" s="14">
        <v>0.92</v>
      </c>
      <c r="I102" s="13">
        <v>21167</v>
      </c>
    </row>
    <row r="103" spans="1:9" x14ac:dyDescent="0.25">
      <c r="A103" s="4" t="s">
        <v>336</v>
      </c>
      <c r="B103" s="4" t="s">
        <v>920</v>
      </c>
      <c r="C103" s="4" t="s">
        <v>45</v>
      </c>
      <c r="D103" s="12">
        <v>22978</v>
      </c>
      <c r="E103" s="12">
        <v>16096</v>
      </c>
      <c r="F103" s="24">
        <v>1.04</v>
      </c>
      <c r="G103" s="13">
        <f t="shared" si="1"/>
        <v>23897.120000000003</v>
      </c>
      <c r="H103" s="14">
        <v>0.82</v>
      </c>
      <c r="I103" s="13">
        <v>17629</v>
      </c>
    </row>
    <row r="104" spans="1:9" x14ac:dyDescent="0.25">
      <c r="A104" s="4" t="s">
        <v>337</v>
      </c>
      <c r="B104" s="4" t="s">
        <v>923</v>
      </c>
      <c r="C104" s="4" t="s">
        <v>27</v>
      </c>
      <c r="D104" s="12">
        <v>1516</v>
      </c>
      <c r="E104" s="12">
        <v>877</v>
      </c>
      <c r="F104" s="24">
        <v>11.48</v>
      </c>
      <c r="G104" s="13">
        <f t="shared" si="1"/>
        <v>17403.68</v>
      </c>
      <c r="H104" s="14">
        <v>0.78</v>
      </c>
      <c r="I104" s="13">
        <v>10861</v>
      </c>
    </row>
    <row r="105" spans="1:9" x14ac:dyDescent="0.25">
      <c r="A105" s="4" t="s">
        <v>338</v>
      </c>
      <c r="B105" s="4" t="s">
        <v>919</v>
      </c>
      <c r="C105" s="4" t="s">
        <v>237</v>
      </c>
      <c r="D105" s="12">
        <v>54</v>
      </c>
      <c r="E105" s="12">
        <v>31</v>
      </c>
      <c r="F105" s="24">
        <v>707.03</v>
      </c>
      <c r="G105" s="13">
        <f t="shared" si="1"/>
        <v>38179.619999999995</v>
      </c>
      <c r="H105" s="14">
        <v>0.74</v>
      </c>
      <c r="I105" s="13">
        <v>22339</v>
      </c>
    </row>
    <row r="106" spans="1:9" x14ac:dyDescent="0.25">
      <c r="A106" s="4" t="s">
        <v>339</v>
      </c>
      <c r="B106" s="4" t="s">
        <v>908</v>
      </c>
      <c r="C106" s="4" t="s">
        <v>237</v>
      </c>
      <c r="D106" s="12">
        <v>1</v>
      </c>
      <c r="E106" s="12">
        <v>1</v>
      </c>
      <c r="F106" s="24">
        <v>138630.98000000001</v>
      </c>
      <c r="G106" s="13">
        <f t="shared" si="1"/>
        <v>138630.98000000001</v>
      </c>
      <c r="H106" s="14">
        <v>1</v>
      </c>
      <c r="I106" s="13">
        <v>149178</v>
      </c>
    </row>
    <row r="107" spans="1:9" x14ac:dyDescent="0.25">
      <c r="A107" s="4" t="s">
        <v>340</v>
      </c>
      <c r="B107" s="4" t="s">
        <v>905</v>
      </c>
      <c r="C107" s="4" t="s">
        <v>32</v>
      </c>
      <c r="D107" s="12">
        <v>2869</v>
      </c>
      <c r="E107" s="12">
        <v>1377</v>
      </c>
      <c r="F107" s="24">
        <v>23.42</v>
      </c>
      <c r="G107" s="13">
        <f t="shared" si="1"/>
        <v>67191.98000000001</v>
      </c>
      <c r="H107" s="14">
        <v>0.66</v>
      </c>
      <c r="I107" s="13">
        <v>33773</v>
      </c>
    </row>
    <row r="108" spans="1:9" x14ac:dyDescent="0.25">
      <c r="A108" s="4" t="s">
        <v>341</v>
      </c>
      <c r="B108" s="4" t="s">
        <v>917</v>
      </c>
      <c r="C108" s="4" t="s">
        <v>237</v>
      </c>
      <c r="D108" s="12">
        <v>61</v>
      </c>
      <c r="E108" s="12">
        <v>40</v>
      </c>
      <c r="F108" s="24">
        <v>1456.43</v>
      </c>
      <c r="G108" s="13">
        <f t="shared" si="1"/>
        <v>88842.23000000001</v>
      </c>
      <c r="H108" s="14">
        <v>0.71</v>
      </c>
      <c r="I108" s="13">
        <v>55809</v>
      </c>
    </row>
    <row r="109" spans="1:9" x14ac:dyDescent="0.25">
      <c r="A109" s="4" t="s">
        <v>342</v>
      </c>
      <c r="B109" s="4" t="s">
        <v>921</v>
      </c>
      <c r="C109" s="4" t="s">
        <v>237</v>
      </c>
      <c r="D109" s="12">
        <v>1</v>
      </c>
      <c r="E109" s="12">
        <v>1</v>
      </c>
      <c r="F109" s="24">
        <v>154013.44</v>
      </c>
      <c r="G109" s="13">
        <f t="shared" si="1"/>
        <v>154013.44</v>
      </c>
      <c r="H109" s="14">
        <v>1</v>
      </c>
      <c r="I109" s="13">
        <v>145333</v>
      </c>
    </row>
    <row r="110" spans="1:9" x14ac:dyDescent="0.25">
      <c r="A110" s="4" t="s">
        <v>343</v>
      </c>
      <c r="B110" s="4" t="s">
        <v>882</v>
      </c>
      <c r="C110" s="4" t="s">
        <v>237</v>
      </c>
      <c r="D110" s="12">
        <v>69</v>
      </c>
      <c r="E110" s="12">
        <v>45</v>
      </c>
      <c r="F110" s="24">
        <v>534.6</v>
      </c>
      <c r="G110" s="13">
        <f t="shared" si="1"/>
        <v>36887.4</v>
      </c>
      <c r="H110" s="14">
        <v>0.81</v>
      </c>
      <c r="I110" s="13">
        <v>26601</v>
      </c>
    </row>
    <row r="111" spans="1:9" x14ac:dyDescent="0.25">
      <c r="A111" s="4" t="s">
        <v>344</v>
      </c>
      <c r="B111" s="4" t="s">
        <v>920</v>
      </c>
      <c r="C111" s="4" t="s">
        <v>45</v>
      </c>
      <c r="D111" s="12">
        <v>28028</v>
      </c>
      <c r="E111" s="12">
        <v>13990</v>
      </c>
      <c r="F111" s="24">
        <v>1.08</v>
      </c>
      <c r="G111" s="13">
        <f t="shared" si="1"/>
        <v>30270.240000000002</v>
      </c>
      <c r="H111" s="14">
        <v>0.57999999999999996</v>
      </c>
      <c r="I111" s="13">
        <v>16111</v>
      </c>
    </row>
    <row r="112" spans="1:9" x14ac:dyDescent="0.25">
      <c r="A112" s="4" t="s">
        <v>345</v>
      </c>
      <c r="B112" s="4" t="s">
        <v>916</v>
      </c>
      <c r="C112" s="4" t="s">
        <v>237</v>
      </c>
      <c r="D112" s="12">
        <v>33</v>
      </c>
      <c r="E112" s="12">
        <v>29</v>
      </c>
      <c r="F112" s="24">
        <v>1092.42</v>
      </c>
      <c r="G112" s="13">
        <f t="shared" si="1"/>
        <v>36049.86</v>
      </c>
      <c r="H112" s="14">
        <v>1</v>
      </c>
      <c r="I112" s="13">
        <v>31194</v>
      </c>
    </row>
    <row r="113" spans="1:9" x14ac:dyDescent="0.25">
      <c r="A113" s="4" t="s">
        <v>346</v>
      </c>
      <c r="B113" s="4" t="s">
        <v>924</v>
      </c>
      <c r="C113" s="4" t="s">
        <v>45</v>
      </c>
      <c r="D113" s="12">
        <v>10764</v>
      </c>
      <c r="E113" s="12">
        <v>5592</v>
      </c>
      <c r="F113" s="24">
        <v>1.44</v>
      </c>
      <c r="G113" s="13">
        <f t="shared" si="1"/>
        <v>15500.16</v>
      </c>
      <c r="H113" s="14">
        <v>0.61</v>
      </c>
      <c r="I113" s="13">
        <v>8847</v>
      </c>
    </row>
    <row r="114" spans="1:9" x14ac:dyDescent="0.25">
      <c r="A114" s="4" t="s">
        <v>347</v>
      </c>
      <c r="B114" s="4" t="s">
        <v>911</v>
      </c>
      <c r="C114" s="4" t="s">
        <v>240</v>
      </c>
      <c r="D114" s="12">
        <v>451</v>
      </c>
      <c r="E114" s="12">
        <v>274</v>
      </c>
      <c r="F114" s="24">
        <v>54.62</v>
      </c>
      <c r="G114" s="13">
        <f t="shared" si="1"/>
        <v>24633.62</v>
      </c>
      <c r="H114" s="14">
        <v>0.76</v>
      </c>
      <c r="I114" s="13">
        <v>15653</v>
      </c>
    </row>
    <row r="115" spans="1:9" x14ac:dyDescent="0.25">
      <c r="A115" s="4" t="s">
        <v>348</v>
      </c>
      <c r="B115" s="4" t="s">
        <v>917</v>
      </c>
      <c r="C115" s="4" t="s">
        <v>237</v>
      </c>
      <c r="D115" s="12">
        <v>84</v>
      </c>
      <c r="E115" s="12">
        <v>61</v>
      </c>
      <c r="F115" s="24">
        <v>1485.16</v>
      </c>
      <c r="G115" s="13">
        <f t="shared" si="1"/>
        <v>124753.44</v>
      </c>
      <c r="H115" s="14">
        <v>0.9</v>
      </c>
      <c r="I115" s="13">
        <v>101286</v>
      </c>
    </row>
    <row r="116" spans="1:9" x14ac:dyDescent="0.25">
      <c r="A116" s="4" t="s">
        <v>349</v>
      </c>
      <c r="B116" s="4" t="s">
        <v>888</v>
      </c>
      <c r="C116" s="4" t="s">
        <v>27</v>
      </c>
      <c r="D116" s="12">
        <v>245</v>
      </c>
      <c r="E116" s="12">
        <v>201</v>
      </c>
      <c r="F116" s="24">
        <v>7.75</v>
      </c>
      <c r="G116" s="13">
        <f t="shared" si="1"/>
        <v>1898.75</v>
      </c>
      <c r="H116" s="14">
        <v>0.94</v>
      </c>
      <c r="I116" s="13">
        <v>1516</v>
      </c>
    </row>
    <row r="117" spans="1:9" x14ac:dyDescent="0.25">
      <c r="A117" s="4" t="s">
        <v>350</v>
      </c>
      <c r="B117" s="4" t="s">
        <v>886</v>
      </c>
      <c r="C117" s="4" t="s">
        <v>32</v>
      </c>
      <c r="D117" s="12">
        <v>422</v>
      </c>
      <c r="E117" s="12">
        <v>330</v>
      </c>
      <c r="F117" s="24">
        <v>4.79</v>
      </c>
      <c r="G117" s="13">
        <f t="shared" si="1"/>
        <v>2021.38</v>
      </c>
      <c r="H117" s="14">
        <v>0.94</v>
      </c>
      <c r="I117" s="13">
        <v>1546</v>
      </c>
    </row>
    <row r="118" spans="1:9" x14ac:dyDescent="0.25">
      <c r="A118" s="4" t="s">
        <v>351</v>
      </c>
      <c r="B118" s="4" t="s">
        <v>914</v>
      </c>
      <c r="C118" s="4" t="s">
        <v>32</v>
      </c>
      <c r="D118" s="12">
        <v>1336</v>
      </c>
      <c r="E118" s="12">
        <v>1058</v>
      </c>
      <c r="F118" s="24">
        <v>4.5599999999999996</v>
      </c>
      <c r="G118" s="13">
        <f t="shared" si="1"/>
        <v>6092.16</v>
      </c>
      <c r="H118" s="14">
        <v>0.91</v>
      </c>
      <c r="I118" s="13">
        <v>5212</v>
      </c>
    </row>
    <row r="119" spans="1:9" x14ac:dyDescent="0.25">
      <c r="A119" s="4" t="s">
        <v>352</v>
      </c>
      <c r="B119" s="4" t="s">
        <v>916</v>
      </c>
      <c r="C119" s="4" t="s">
        <v>237</v>
      </c>
      <c r="D119" s="12">
        <v>106</v>
      </c>
      <c r="E119" s="12">
        <v>85</v>
      </c>
      <c r="F119" s="24">
        <v>569.58000000000004</v>
      </c>
      <c r="G119" s="13">
        <f t="shared" si="1"/>
        <v>60375.48</v>
      </c>
      <c r="H119" s="14">
        <v>0.96</v>
      </c>
      <c r="I119" s="13">
        <v>49270</v>
      </c>
    </row>
    <row r="120" spans="1:9" x14ac:dyDescent="0.25">
      <c r="A120" s="4" t="s">
        <v>353</v>
      </c>
      <c r="B120" s="4" t="s">
        <v>900</v>
      </c>
      <c r="C120" s="4" t="s">
        <v>27</v>
      </c>
      <c r="D120" s="12">
        <v>1085</v>
      </c>
      <c r="E120" s="12">
        <v>935</v>
      </c>
      <c r="F120" s="24">
        <v>8.61</v>
      </c>
      <c r="G120" s="13">
        <f t="shared" si="1"/>
        <v>9341.8499999999985</v>
      </c>
      <c r="H120" s="14">
        <v>0.92</v>
      </c>
      <c r="I120" s="13">
        <v>8749</v>
      </c>
    </row>
    <row r="121" spans="1:9" x14ac:dyDescent="0.25">
      <c r="A121" s="4" t="s">
        <v>354</v>
      </c>
      <c r="B121" s="4" t="s">
        <v>890</v>
      </c>
      <c r="C121" s="4" t="s">
        <v>237</v>
      </c>
      <c r="D121" s="12">
        <v>2</v>
      </c>
      <c r="E121" s="12">
        <v>2</v>
      </c>
      <c r="F121" s="24">
        <v>101930.14</v>
      </c>
      <c r="G121" s="13">
        <f t="shared" si="1"/>
        <v>203860.28</v>
      </c>
      <c r="H121" s="14">
        <v>1</v>
      </c>
      <c r="I121" s="13">
        <v>224729</v>
      </c>
    </row>
    <row r="122" spans="1:9" x14ac:dyDescent="0.25">
      <c r="A122" s="4" t="s">
        <v>355</v>
      </c>
      <c r="B122" s="4" t="s">
        <v>906</v>
      </c>
      <c r="C122" s="4" t="s">
        <v>237</v>
      </c>
      <c r="D122" s="12">
        <v>2</v>
      </c>
      <c r="E122" s="12">
        <v>1</v>
      </c>
      <c r="F122" s="24">
        <v>128557.71</v>
      </c>
      <c r="G122" s="13">
        <f t="shared" si="1"/>
        <v>257115.42</v>
      </c>
      <c r="H122" s="14">
        <v>0.66</v>
      </c>
      <c r="I122" s="13">
        <v>126782</v>
      </c>
    </row>
    <row r="123" spans="1:9" x14ac:dyDescent="0.25">
      <c r="A123" s="4" t="s">
        <v>356</v>
      </c>
      <c r="B123" s="4" t="s">
        <v>889</v>
      </c>
      <c r="C123" s="4" t="s">
        <v>27</v>
      </c>
      <c r="D123" s="12">
        <v>240</v>
      </c>
      <c r="E123" s="12">
        <v>171</v>
      </c>
      <c r="F123" s="24">
        <v>10.16</v>
      </c>
      <c r="G123" s="13">
        <f t="shared" si="1"/>
        <v>2438.4</v>
      </c>
      <c r="H123" s="14">
        <v>0.83</v>
      </c>
      <c r="I123" s="13">
        <v>1648</v>
      </c>
    </row>
    <row r="124" spans="1:9" x14ac:dyDescent="0.25">
      <c r="A124" s="4" t="s">
        <v>357</v>
      </c>
      <c r="B124" s="4" t="s">
        <v>906</v>
      </c>
      <c r="C124" s="4" t="s">
        <v>237</v>
      </c>
      <c r="D124" s="12">
        <v>2</v>
      </c>
      <c r="E124" s="12">
        <v>2</v>
      </c>
      <c r="F124" s="24">
        <v>122829.91</v>
      </c>
      <c r="G124" s="13">
        <f t="shared" si="1"/>
        <v>245659.82</v>
      </c>
      <c r="H124" s="14">
        <v>1</v>
      </c>
      <c r="I124" s="13">
        <v>243669</v>
      </c>
    </row>
    <row r="125" spans="1:9" x14ac:dyDescent="0.25">
      <c r="A125" s="4" t="s">
        <v>358</v>
      </c>
      <c r="B125" s="4" t="s">
        <v>888</v>
      </c>
      <c r="C125" s="4" t="s">
        <v>27</v>
      </c>
      <c r="D125" s="12">
        <v>417</v>
      </c>
      <c r="E125" s="12">
        <v>295</v>
      </c>
      <c r="F125" s="24">
        <v>7.22</v>
      </c>
      <c r="G125" s="13">
        <f t="shared" si="1"/>
        <v>3010.74</v>
      </c>
      <c r="H125" s="14">
        <v>0.81</v>
      </c>
      <c r="I125" s="13">
        <v>2374</v>
      </c>
    </row>
    <row r="126" spans="1:9" x14ac:dyDescent="0.25">
      <c r="A126" s="4" t="s">
        <v>359</v>
      </c>
      <c r="B126" s="4" t="s">
        <v>882</v>
      </c>
      <c r="C126" s="4" t="s">
        <v>237</v>
      </c>
      <c r="D126" s="12">
        <v>40</v>
      </c>
      <c r="E126" s="12">
        <v>32</v>
      </c>
      <c r="F126" s="24">
        <v>1182.03</v>
      </c>
      <c r="G126" s="13">
        <f t="shared" si="1"/>
        <v>47281.2</v>
      </c>
      <c r="H126" s="14">
        <v>0.98</v>
      </c>
      <c r="I126" s="13">
        <v>39466</v>
      </c>
    </row>
    <row r="127" spans="1:9" x14ac:dyDescent="0.25">
      <c r="A127" s="4" t="s">
        <v>360</v>
      </c>
      <c r="B127" s="4" t="s">
        <v>909</v>
      </c>
      <c r="C127" s="4" t="s">
        <v>32</v>
      </c>
      <c r="D127" s="12">
        <v>814</v>
      </c>
      <c r="E127" s="12">
        <v>589</v>
      </c>
      <c r="F127" s="24">
        <v>27.99</v>
      </c>
      <c r="G127" s="13">
        <f t="shared" si="1"/>
        <v>22783.859999999997</v>
      </c>
      <c r="H127" s="14">
        <v>0.82</v>
      </c>
      <c r="I127" s="13">
        <v>16045</v>
      </c>
    </row>
    <row r="128" spans="1:9" x14ac:dyDescent="0.25">
      <c r="A128" s="4" t="s">
        <v>361</v>
      </c>
      <c r="B128" s="4" t="s">
        <v>916</v>
      </c>
      <c r="C128" s="4" t="s">
        <v>237</v>
      </c>
      <c r="D128" s="12">
        <v>111</v>
      </c>
      <c r="E128" s="12">
        <v>73</v>
      </c>
      <c r="F128" s="24">
        <v>906.59</v>
      </c>
      <c r="G128" s="13">
        <f t="shared" si="1"/>
        <v>100631.49</v>
      </c>
      <c r="H128" s="14">
        <v>0.77</v>
      </c>
      <c r="I128" s="13">
        <v>62781</v>
      </c>
    </row>
    <row r="129" spans="1:9" x14ac:dyDescent="0.25">
      <c r="A129" s="4" t="s">
        <v>362</v>
      </c>
      <c r="B129" s="4" t="s">
        <v>922</v>
      </c>
      <c r="C129" s="4" t="s">
        <v>32</v>
      </c>
      <c r="D129" s="12">
        <v>2536</v>
      </c>
      <c r="E129" s="12">
        <v>1966</v>
      </c>
      <c r="F129" s="24">
        <v>20.9</v>
      </c>
      <c r="G129" s="13">
        <f t="shared" si="1"/>
        <v>53002.399999999994</v>
      </c>
      <c r="H129" s="14">
        <v>0.86</v>
      </c>
      <c r="I129" s="13">
        <v>39406</v>
      </c>
    </row>
    <row r="130" spans="1:9" x14ac:dyDescent="0.25">
      <c r="A130" s="4" t="s">
        <v>363</v>
      </c>
      <c r="B130" s="4" t="s">
        <v>923</v>
      </c>
      <c r="C130" s="4" t="s">
        <v>27</v>
      </c>
      <c r="D130" s="12">
        <v>630</v>
      </c>
      <c r="E130" s="12">
        <v>394</v>
      </c>
      <c r="F130" s="24">
        <v>12.01</v>
      </c>
      <c r="G130" s="13">
        <f t="shared" si="1"/>
        <v>7566.3</v>
      </c>
      <c r="H130" s="14">
        <v>0.75</v>
      </c>
      <c r="I130" s="13">
        <v>5301</v>
      </c>
    </row>
    <row r="131" spans="1:9" x14ac:dyDescent="0.25">
      <c r="A131" s="4" t="s">
        <v>364</v>
      </c>
      <c r="B131" s="4" t="s">
        <v>907</v>
      </c>
      <c r="C131" s="4" t="s">
        <v>32</v>
      </c>
      <c r="D131" s="12">
        <v>2504</v>
      </c>
      <c r="E131" s="12">
        <v>1560</v>
      </c>
      <c r="F131" s="24">
        <v>4.8600000000000003</v>
      </c>
      <c r="G131" s="13">
        <f t="shared" si="1"/>
        <v>12169.44</v>
      </c>
      <c r="H131" s="14">
        <v>0.71</v>
      </c>
      <c r="I131" s="13">
        <v>7465</v>
      </c>
    </row>
    <row r="132" spans="1:9" x14ac:dyDescent="0.25">
      <c r="A132" s="4" t="s">
        <v>365</v>
      </c>
      <c r="B132" s="4" t="s">
        <v>898</v>
      </c>
      <c r="C132" s="4" t="s">
        <v>32</v>
      </c>
      <c r="D132" s="12">
        <v>3011</v>
      </c>
      <c r="E132" s="12">
        <v>2421</v>
      </c>
      <c r="F132" s="24">
        <v>16.87</v>
      </c>
      <c r="G132" s="13">
        <f t="shared" si="1"/>
        <v>50795.57</v>
      </c>
      <c r="H132" s="14">
        <v>0.98</v>
      </c>
      <c r="I132" s="13">
        <v>44807</v>
      </c>
    </row>
    <row r="133" spans="1:9" x14ac:dyDescent="0.25">
      <c r="A133" s="4" t="s">
        <v>366</v>
      </c>
      <c r="B133" s="4" t="s">
        <v>907</v>
      </c>
      <c r="C133" s="4" t="s">
        <v>32</v>
      </c>
      <c r="D133" s="12">
        <v>2037</v>
      </c>
      <c r="E133" s="12">
        <v>1375</v>
      </c>
      <c r="F133" s="24">
        <v>2.61</v>
      </c>
      <c r="G133" s="13">
        <f t="shared" ref="G133:G196" si="2">D133*F133</f>
        <v>5316.57</v>
      </c>
      <c r="H133" s="14">
        <v>0.79</v>
      </c>
      <c r="I133" s="13">
        <v>3966</v>
      </c>
    </row>
    <row r="134" spans="1:9" x14ac:dyDescent="0.25">
      <c r="A134" s="4" t="s">
        <v>367</v>
      </c>
      <c r="B134" s="4" t="s">
        <v>914</v>
      </c>
      <c r="C134" s="4" t="s">
        <v>32</v>
      </c>
      <c r="D134" s="12">
        <v>2122</v>
      </c>
      <c r="E134" s="12">
        <v>1131</v>
      </c>
      <c r="F134" s="24">
        <v>4.43</v>
      </c>
      <c r="G134" s="13">
        <f t="shared" si="2"/>
        <v>9400.4599999999991</v>
      </c>
      <c r="H134" s="14">
        <v>0.62</v>
      </c>
      <c r="I134" s="13">
        <v>5609</v>
      </c>
    </row>
    <row r="135" spans="1:9" x14ac:dyDescent="0.25">
      <c r="A135" s="4" t="s">
        <v>368</v>
      </c>
      <c r="B135" s="4" t="s">
        <v>905</v>
      </c>
      <c r="C135" s="4" t="s">
        <v>32</v>
      </c>
      <c r="D135" s="12">
        <v>2776</v>
      </c>
      <c r="E135" s="12">
        <v>1430</v>
      </c>
      <c r="F135" s="24">
        <v>19.809999999999999</v>
      </c>
      <c r="G135" s="13">
        <f t="shared" si="2"/>
        <v>54992.56</v>
      </c>
      <c r="H135" s="14">
        <v>0.65</v>
      </c>
      <c r="I135" s="13">
        <v>29888</v>
      </c>
    </row>
    <row r="136" spans="1:9" x14ac:dyDescent="0.25">
      <c r="A136" s="4" t="s">
        <v>369</v>
      </c>
      <c r="B136" s="4" t="s">
        <v>896</v>
      </c>
      <c r="C136" s="4" t="s">
        <v>45</v>
      </c>
      <c r="D136" s="12">
        <v>28296</v>
      </c>
      <c r="E136" s="12">
        <v>20139</v>
      </c>
      <c r="F136" s="24">
        <v>1.1499999999999999</v>
      </c>
      <c r="G136" s="13">
        <f t="shared" si="2"/>
        <v>32540.399999999998</v>
      </c>
      <c r="H136" s="14">
        <v>0.77</v>
      </c>
      <c r="I136" s="13">
        <v>24795</v>
      </c>
    </row>
    <row r="137" spans="1:9" x14ac:dyDescent="0.25">
      <c r="A137" s="4" t="s">
        <v>370</v>
      </c>
      <c r="B137" s="4" t="s">
        <v>882</v>
      </c>
      <c r="C137" s="4" t="s">
        <v>237</v>
      </c>
      <c r="D137" s="12">
        <v>70</v>
      </c>
      <c r="E137" s="12">
        <v>60</v>
      </c>
      <c r="F137" s="24">
        <v>890.99</v>
      </c>
      <c r="G137" s="13">
        <f t="shared" si="2"/>
        <v>62369.3</v>
      </c>
      <c r="H137" s="14">
        <v>0.95</v>
      </c>
      <c r="I137" s="13">
        <v>53493</v>
      </c>
    </row>
    <row r="138" spans="1:9" x14ac:dyDescent="0.25">
      <c r="A138" s="4" t="s">
        <v>371</v>
      </c>
      <c r="B138" s="4" t="s">
        <v>908</v>
      </c>
      <c r="C138" s="4" t="s">
        <v>237</v>
      </c>
      <c r="D138" s="12">
        <v>1</v>
      </c>
      <c r="E138" s="12">
        <v>1</v>
      </c>
      <c r="F138" s="24">
        <v>125353.17</v>
      </c>
      <c r="G138" s="13">
        <f t="shared" si="2"/>
        <v>125353.17</v>
      </c>
      <c r="H138" s="14">
        <v>1</v>
      </c>
      <c r="I138" s="13">
        <v>124479</v>
      </c>
    </row>
    <row r="139" spans="1:9" x14ac:dyDescent="0.25">
      <c r="A139" s="4" t="s">
        <v>372</v>
      </c>
      <c r="B139" s="4" t="s">
        <v>919</v>
      </c>
      <c r="C139" s="4" t="s">
        <v>237</v>
      </c>
      <c r="D139" s="12">
        <v>80</v>
      </c>
      <c r="E139" s="12">
        <v>66</v>
      </c>
      <c r="F139" s="24">
        <v>1097.25</v>
      </c>
      <c r="G139" s="13">
        <f t="shared" si="2"/>
        <v>87780</v>
      </c>
      <c r="H139" s="14">
        <v>1</v>
      </c>
      <c r="I139" s="13">
        <v>73525</v>
      </c>
    </row>
    <row r="140" spans="1:9" x14ac:dyDescent="0.25">
      <c r="A140" s="4" t="s">
        <v>373</v>
      </c>
      <c r="B140" s="4" t="s">
        <v>919</v>
      </c>
      <c r="C140" s="4" t="s">
        <v>237</v>
      </c>
      <c r="D140" s="12">
        <v>38</v>
      </c>
      <c r="E140" s="12">
        <v>21</v>
      </c>
      <c r="F140" s="24">
        <v>766.16</v>
      </c>
      <c r="G140" s="13">
        <f t="shared" si="2"/>
        <v>29114.079999999998</v>
      </c>
      <c r="H140" s="14">
        <v>0.66</v>
      </c>
      <c r="I140" s="13">
        <v>16754</v>
      </c>
    </row>
    <row r="141" spans="1:9" x14ac:dyDescent="0.25">
      <c r="A141" s="4" t="s">
        <v>374</v>
      </c>
      <c r="B141" s="4" t="s">
        <v>887</v>
      </c>
      <c r="C141" s="4" t="s">
        <v>32</v>
      </c>
      <c r="D141" s="12">
        <v>2317</v>
      </c>
      <c r="E141" s="12">
        <v>1992</v>
      </c>
      <c r="F141" s="24">
        <v>5.61</v>
      </c>
      <c r="G141" s="13">
        <f t="shared" si="2"/>
        <v>12998.37</v>
      </c>
      <c r="H141" s="14">
        <v>0.9</v>
      </c>
      <c r="I141" s="13">
        <v>11521</v>
      </c>
    </row>
    <row r="142" spans="1:9" x14ac:dyDescent="0.25">
      <c r="A142" s="4" t="s">
        <v>375</v>
      </c>
      <c r="B142" s="4" t="s">
        <v>881</v>
      </c>
      <c r="C142" s="4" t="s">
        <v>237</v>
      </c>
      <c r="D142" s="12">
        <v>2</v>
      </c>
      <c r="E142" s="12">
        <v>1</v>
      </c>
      <c r="F142" s="24">
        <v>88795.77</v>
      </c>
      <c r="G142" s="13">
        <f t="shared" si="2"/>
        <v>177591.54</v>
      </c>
      <c r="H142" s="14">
        <v>0.63</v>
      </c>
      <c r="I142" s="13">
        <v>91028</v>
      </c>
    </row>
    <row r="143" spans="1:9" x14ac:dyDescent="0.25">
      <c r="A143" s="4" t="s">
        <v>376</v>
      </c>
      <c r="B143" s="4" t="s">
        <v>920</v>
      </c>
      <c r="C143" s="4" t="s">
        <v>45</v>
      </c>
      <c r="D143" s="12">
        <v>27075</v>
      </c>
      <c r="E143" s="12">
        <v>18243</v>
      </c>
      <c r="F143" s="24">
        <v>1.1299999999999999</v>
      </c>
      <c r="G143" s="13">
        <f t="shared" si="2"/>
        <v>30594.749999999996</v>
      </c>
      <c r="H143" s="14">
        <v>0.86</v>
      </c>
      <c r="I143" s="13">
        <v>20566</v>
      </c>
    </row>
    <row r="144" spans="1:9" x14ac:dyDescent="0.25">
      <c r="A144" s="4" t="s">
        <v>377</v>
      </c>
      <c r="B144" s="4" t="s">
        <v>907</v>
      </c>
      <c r="C144" s="4" t="s">
        <v>32</v>
      </c>
      <c r="D144" s="12">
        <v>3180</v>
      </c>
      <c r="E144" s="12">
        <v>2538</v>
      </c>
      <c r="F144" s="24">
        <v>3.01</v>
      </c>
      <c r="G144" s="13">
        <f t="shared" si="2"/>
        <v>9571.7999999999993</v>
      </c>
      <c r="H144" s="14">
        <v>0.92</v>
      </c>
      <c r="I144" s="13">
        <v>8071</v>
      </c>
    </row>
    <row r="145" spans="1:9" x14ac:dyDescent="0.25">
      <c r="A145" s="4" t="s">
        <v>378</v>
      </c>
      <c r="B145" s="4" t="s">
        <v>920</v>
      </c>
      <c r="C145" s="4" t="s">
        <v>45</v>
      </c>
      <c r="D145" s="12">
        <v>15730</v>
      </c>
      <c r="E145" s="12">
        <v>14145</v>
      </c>
      <c r="F145" s="24">
        <v>1.05</v>
      </c>
      <c r="G145" s="13">
        <f t="shared" si="2"/>
        <v>16516.5</v>
      </c>
      <c r="H145" s="14">
        <v>1</v>
      </c>
      <c r="I145" s="13">
        <v>15249</v>
      </c>
    </row>
    <row r="146" spans="1:9" x14ac:dyDescent="0.25">
      <c r="A146" s="4" t="s">
        <v>379</v>
      </c>
      <c r="B146" s="4" t="s">
        <v>891</v>
      </c>
      <c r="C146" s="4" t="s">
        <v>32</v>
      </c>
      <c r="D146" s="12">
        <v>2364</v>
      </c>
      <c r="E146" s="12">
        <v>1614</v>
      </c>
      <c r="F146" s="24">
        <v>22.9</v>
      </c>
      <c r="G146" s="13">
        <f t="shared" si="2"/>
        <v>54135.6</v>
      </c>
      <c r="H146" s="14">
        <v>0.83</v>
      </c>
      <c r="I146" s="13">
        <v>37696</v>
      </c>
    </row>
    <row r="147" spans="1:9" x14ac:dyDescent="0.25">
      <c r="A147" s="4" t="s">
        <v>380</v>
      </c>
      <c r="B147" s="4" t="s">
        <v>899</v>
      </c>
      <c r="C147" s="4" t="s">
        <v>237</v>
      </c>
      <c r="D147" s="12">
        <v>2</v>
      </c>
      <c r="E147" s="12">
        <v>1</v>
      </c>
      <c r="F147" s="24">
        <v>95445.46</v>
      </c>
      <c r="G147" s="13">
        <f t="shared" si="2"/>
        <v>190890.92</v>
      </c>
      <c r="H147" s="14">
        <v>0.6</v>
      </c>
      <c r="I147" s="13">
        <v>99580</v>
      </c>
    </row>
    <row r="148" spans="1:9" x14ac:dyDescent="0.25">
      <c r="A148" s="4" t="s">
        <v>381</v>
      </c>
      <c r="B148" s="4" t="s">
        <v>887</v>
      </c>
      <c r="C148" s="4" t="s">
        <v>32</v>
      </c>
      <c r="D148" s="12">
        <v>633</v>
      </c>
      <c r="E148" s="12">
        <v>454</v>
      </c>
      <c r="F148" s="24">
        <v>2.69</v>
      </c>
      <c r="G148" s="13">
        <f t="shared" si="2"/>
        <v>1702.77</v>
      </c>
      <c r="H148" s="14">
        <v>0.81</v>
      </c>
      <c r="I148" s="13">
        <v>1238</v>
      </c>
    </row>
    <row r="149" spans="1:9" x14ac:dyDescent="0.25">
      <c r="A149" s="4" t="s">
        <v>382</v>
      </c>
      <c r="B149" s="4" t="s">
        <v>898</v>
      </c>
      <c r="C149" s="4" t="s">
        <v>32</v>
      </c>
      <c r="D149" s="12">
        <v>975</v>
      </c>
      <c r="E149" s="12">
        <v>855</v>
      </c>
      <c r="F149" s="24">
        <v>23.54</v>
      </c>
      <c r="G149" s="13">
        <f t="shared" si="2"/>
        <v>22951.5</v>
      </c>
      <c r="H149" s="14">
        <v>1</v>
      </c>
      <c r="I149" s="13">
        <v>21745</v>
      </c>
    </row>
    <row r="150" spans="1:9" x14ac:dyDescent="0.25">
      <c r="A150" s="4" t="s">
        <v>383</v>
      </c>
      <c r="B150" s="4" t="s">
        <v>892</v>
      </c>
      <c r="C150" s="4" t="s">
        <v>240</v>
      </c>
      <c r="D150" s="12">
        <v>447</v>
      </c>
      <c r="E150" s="12">
        <v>307</v>
      </c>
      <c r="F150" s="24">
        <v>47.77</v>
      </c>
      <c r="G150" s="13">
        <f t="shared" si="2"/>
        <v>21353.190000000002</v>
      </c>
      <c r="H150" s="14">
        <v>0.74</v>
      </c>
      <c r="I150" s="13">
        <v>15457</v>
      </c>
    </row>
    <row r="151" spans="1:9" x14ac:dyDescent="0.25">
      <c r="A151" s="4" t="s">
        <v>384</v>
      </c>
      <c r="B151" s="4" t="s">
        <v>896</v>
      </c>
      <c r="C151" s="4" t="s">
        <v>45</v>
      </c>
      <c r="D151" s="12">
        <v>12192</v>
      </c>
      <c r="E151" s="12">
        <v>7541</v>
      </c>
      <c r="F151" s="24">
        <v>1.27</v>
      </c>
      <c r="G151" s="13">
        <f t="shared" si="2"/>
        <v>15483.84</v>
      </c>
      <c r="H151" s="14">
        <v>0.72</v>
      </c>
      <c r="I151" s="13">
        <v>9256</v>
      </c>
    </row>
    <row r="152" spans="1:9" x14ac:dyDescent="0.25">
      <c r="A152" s="4" t="s">
        <v>385</v>
      </c>
      <c r="B152" s="4" t="s">
        <v>906</v>
      </c>
      <c r="C152" s="4" t="s">
        <v>237</v>
      </c>
      <c r="D152" s="12">
        <v>1</v>
      </c>
      <c r="E152" s="12">
        <v>1</v>
      </c>
      <c r="F152" s="24">
        <v>75205.47</v>
      </c>
      <c r="G152" s="13">
        <f t="shared" si="2"/>
        <v>75205.47</v>
      </c>
      <c r="H152" s="14">
        <v>1</v>
      </c>
      <c r="I152" s="13">
        <v>71475</v>
      </c>
    </row>
    <row r="153" spans="1:9" x14ac:dyDescent="0.25">
      <c r="A153" s="4" t="s">
        <v>386</v>
      </c>
      <c r="B153" s="4" t="s">
        <v>909</v>
      </c>
      <c r="C153" s="4" t="s">
        <v>32</v>
      </c>
      <c r="D153" s="12">
        <v>1025</v>
      </c>
      <c r="E153" s="12">
        <v>726</v>
      </c>
      <c r="F153" s="24">
        <v>19.010000000000002</v>
      </c>
      <c r="G153" s="13">
        <f t="shared" si="2"/>
        <v>19485.25</v>
      </c>
      <c r="H153" s="14">
        <v>0.89</v>
      </c>
      <c r="I153" s="13">
        <v>13859</v>
      </c>
    </row>
    <row r="154" spans="1:9" x14ac:dyDescent="0.25">
      <c r="A154" s="4" t="s">
        <v>387</v>
      </c>
      <c r="B154" s="4" t="s">
        <v>913</v>
      </c>
      <c r="C154" s="4" t="s">
        <v>237</v>
      </c>
      <c r="D154" s="12">
        <v>1</v>
      </c>
      <c r="E154" s="12">
        <v>1</v>
      </c>
      <c r="F154" s="24">
        <v>114010.86</v>
      </c>
      <c r="G154" s="13">
        <f t="shared" si="2"/>
        <v>114010.86</v>
      </c>
      <c r="H154" s="14">
        <v>1</v>
      </c>
      <c r="I154" s="13">
        <v>119487</v>
      </c>
    </row>
    <row r="155" spans="1:9" x14ac:dyDescent="0.25">
      <c r="A155" s="4" t="s">
        <v>388</v>
      </c>
      <c r="B155" s="4" t="s">
        <v>925</v>
      </c>
      <c r="C155" s="4" t="s">
        <v>45</v>
      </c>
      <c r="D155" s="12">
        <v>10467</v>
      </c>
      <c r="E155" s="12">
        <v>7003</v>
      </c>
      <c r="F155" s="24">
        <v>1.2</v>
      </c>
      <c r="G155" s="13">
        <f t="shared" si="2"/>
        <v>12560.4</v>
      </c>
      <c r="H155" s="14">
        <v>0.78</v>
      </c>
      <c r="I155" s="13">
        <v>7987</v>
      </c>
    </row>
    <row r="156" spans="1:9" x14ac:dyDescent="0.25">
      <c r="A156" s="4" t="s">
        <v>389</v>
      </c>
      <c r="B156" s="4" t="s">
        <v>921</v>
      </c>
      <c r="C156" s="4" t="s">
        <v>237</v>
      </c>
      <c r="D156" s="12">
        <v>2</v>
      </c>
      <c r="E156" s="12">
        <v>1</v>
      </c>
      <c r="F156" s="24">
        <v>132951.43</v>
      </c>
      <c r="G156" s="13">
        <f t="shared" si="2"/>
        <v>265902.86</v>
      </c>
      <c r="H156" s="14">
        <v>0.7</v>
      </c>
      <c r="I156" s="13">
        <v>143524</v>
      </c>
    </row>
    <row r="157" spans="1:9" x14ac:dyDescent="0.25">
      <c r="A157" s="4" t="s">
        <v>390</v>
      </c>
      <c r="B157" s="4" t="s">
        <v>918</v>
      </c>
      <c r="C157" s="4" t="s">
        <v>237</v>
      </c>
      <c r="D157" s="12">
        <v>2</v>
      </c>
      <c r="E157" s="12">
        <v>1</v>
      </c>
      <c r="F157" s="24">
        <v>114708.24</v>
      </c>
      <c r="G157" s="13">
        <f t="shared" si="2"/>
        <v>229416.48</v>
      </c>
      <c r="H157" s="14">
        <v>0.62</v>
      </c>
      <c r="I157" s="13">
        <v>111587</v>
      </c>
    </row>
    <row r="158" spans="1:9" x14ac:dyDescent="0.25">
      <c r="A158" s="4" t="s">
        <v>391</v>
      </c>
      <c r="B158" s="4" t="s">
        <v>889</v>
      </c>
      <c r="C158" s="4" t="s">
        <v>27</v>
      </c>
      <c r="D158" s="12">
        <v>1209</v>
      </c>
      <c r="E158" s="12">
        <v>988</v>
      </c>
      <c r="F158" s="24">
        <v>9.83</v>
      </c>
      <c r="G158" s="13">
        <f t="shared" si="2"/>
        <v>11884.47</v>
      </c>
      <c r="H158" s="14">
        <v>0.88</v>
      </c>
      <c r="I158" s="13">
        <v>9652</v>
      </c>
    </row>
    <row r="159" spans="1:9" x14ac:dyDescent="0.25">
      <c r="A159" s="4" t="s">
        <v>392</v>
      </c>
      <c r="B159" s="4" t="s">
        <v>923</v>
      </c>
      <c r="C159" s="4" t="s">
        <v>27</v>
      </c>
      <c r="D159" s="12">
        <v>495</v>
      </c>
      <c r="E159" s="12">
        <v>294</v>
      </c>
      <c r="F159" s="24">
        <v>10.55</v>
      </c>
      <c r="G159" s="13">
        <f t="shared" si="2"/>
        <v>5222.25</v>
      </c>
      <c r="H159" s="14">
        <v>0.79</v>
      </c>
      <c r="I159" s="13">
        <v>3484</v>
      </c>
    </row>
    <row r="160" spans="1:9" x14ac:dyDescent="0.25">
      <c r="A160" s="4" t="s">
        <v>393</v>
      </c>
      <c r="B160" s="4" t="s">
        <v>900</v>
      </c>
      <c r="C160" s="4" t="s">
        <v>27</v>
      </c>
      <c r="D160" s="12">
        <v>537</v>
      </c>
      <c r="E160" s="12">
        <v>441</v>
      </c>
      <c r="F160" s="24">
        <v>9.74</v>
      </c>
      <c r="G160" s="13">
        <f t="shared" si="2"/>
        <v>5230.38</v>
      </c>
      <c r="H160" s="14">
        <v>0.94</v>
      </c>
      <c r="I160" s="13">
        <v>4283</v>
      </c>
    </row>
    <row r="161" spans="1:9" x14ac:dyDescent="0.25">
      <c r="A161" s="4" t="s">
        <v>394</v>
      </c>
      <c r="B161" s="4" t="s">
        <v>911</v>
      </c>
      <c r="C161" s="4" t="s">
        <v>240</v>
      </c>
      <c r="D161" s="12">
        <v>1056</v>
      </c>
      <c r="E161" s="12">
        <v>528</v>
      </c>
      <c r="F161" s="24">
        <v>70.599999999999994</v>
      </c>
      <c r="G161" s="13">
        <f t="shared" si="2"/>
        <v>74553.599999999991</v>
      </c>
      <c r="H161" s="14">
        <v>0.68</v>
      </c>
      <c r="I161" s="13">
        <v>40597</v>
      </c>
    </row>
    <row r="162" spans="1:9" x14ac:dyDescent="0.25">
      <c r="A162" s="4" t="s">
        <v>395</v>
      </c>
      <c r="B162" s="4" t="s">
        <v>889</v>
      </c>
      <c r="C162" s="4" t="s">
        <v>27</v>
      </c>
      <c r="D162" s="12">
        <v>1562</v>
      </c>
      <c r="E162" s="12">
        <v>1188</v>
      </c>
      <c r="F162" s="24">
        <v>8.52</v>
      </c>
      <c r="G162" s="13">
        <f t="shared" si="2"/>
        <v>13308.24</v>
      </c>
      <c r="H162" s="14">
        <v>0.93</v>
      </c>
      <c r="I162" s="13">
        <v>10778</v>
      </c>
    </row>
    <row r="163" spans="1:9" x14ac:dyDescent="0.25">
      <c r="A163" s="4" t="s">
        <v>396</v>
      </c>
      <c r="B163" s="4" t="s">
        <v>922</v>
      </c>
      <c r="C163" s="4" t="s">
        <v>32</v>
      </c>
      <c r="D163" s="12">
        <v>2144</v>
      </c>
      <c r="E163" s="12">
        <v>1920</v>
      </c>
      <c r="F163" s="24">
        <v>21.97</v>
      </c>
      <c r="G163" s="13">
        <f t="shared" si="2"/>
        <v>47103.68</v>
      </c>
      <c r="H163" s="14">
        <v>1</v>
      </c>
      <c r="I163" s="13">
        <v>40342</v>
      </c>
    </row>
    <row r="164" spans="1:9" x14ac:dyDescent="0.25">
      <c r="A164" s="4" t="s">
        <v>397</v>
      </c>
      <c r="B164" s="4" t="s">
        <v>901</v>
      </c>
      <c r="C164" s="4" t="s">
        <v>237</v>
      </c>
      <c r="D164" s="12">
        <v>1</v>
      </c>
      <c r="E164" s="12">
        <v>1</v>
      </c>
      <c r="F164" s="24">
        <v>130478.34</v>
      </c>
      <c r="G164" s="13">
        <f t="shared" si="2"/>
        <v>130478.34</v>
      </c>
      <c r="H164" s="14">
        <v>1</v>
      </c>
      <c r="I164" s="13">
        <v>135903</v>
      </c>
    </row>
    <row r="165" spans="1:9" x14ac:dyDescent="0.25">
      <c r="A165" s="4" t="s">
        <v>398</v>
      </c>
      <c r="B165" s="4" t="s">
        <v>883</v>
      </c>
      <c r="C165" s="4" t="s">
        <v>240</v>
      </c>
      <c r="D165" s="12">
        <v>484</v>
      </c>
      <c r="E165" s="12">
        <v>252</v>
      </c>
      <c r="F165" s="24">
        <v>62.24</v>
      </c>
      <c r="G165" s="13">
        <f t="shared" si="2"/>
        <v>30124.16</v>
      </c>
      <c r="H165" s="14">
        <v>0.61</v>
      </c>
      <c r="I165" s="13">
        <v>16664</v>
      </c>
    </row>
    <row r="166" spans="1:9" x14ac:dyDescent="0.25">
      <c r="A166" s="4" t="s">
        <v>399</v>
      </c>
      <c r="B166" s="4" t="s">
        <v>909</v>
      </c>
      <c r="C166" s="4" t="s">
        <v>32</v>
      </c>
      <c r="D166" s="12">
        <v>784</v>
      </c>
      <c r="E166" s="12">
        <v>533</v>
      </c>
      <c r="F166" s="24">
        <v>23.26</v>
      </c>
      <c r="G166" s="13">
        <f t="shared" si="2"/>
        <v>18235.84</v>
      </c>
      <c r="H166" s="14">
        <v>0.8</v>
      </c>
      <c r="I166" s="13">
        <v>12191</v>
      </c>
    </row>
    <row r="167" spans="1:9" x14ac:dyDescent="0.25">
      <c r="A167" s="4" t="s">
        <v>400</v>
      </c>
      <c r="B167" s="4" t="s">
        <v>906</v>
      </c>
      <c r="C167" s="4" t="s">
        <v>237</v>
      </c>
      <c r="D167" s="12">
        <v>1</v>
      </c>
      <c r="E167" s="12">
        <v>1</v>
      </c>
      <c r="F167" s="24">
        <v>77431.77</v>
      </c>
      <c r="G167" s="13">
        <f t="shared" si="2"/>
        <v>77431.77</v>
      </c>
      <c r="H167" s="14">
        <v>1</v>
      </c>
      <c r="I167" s="13">
        <v>73599</v>
      </c>
    </row>
    <row r="168" spans="1:9" x14ac:dyDescent="0.25">
      <c r="A168" s="4" t="s">
        <v>401</v>
      </c>
      <c r="B168" s="4" t="s">
        <v>908</v>
      </c>
      <c r="C168" s="4" t="s">
        <v>237</v>
      </c>
      <c r="D168" s="12">
        <v>2</v>
      </c>
      <c r="E168" s="12">
        <v>1</v>
      </c>
      <c r="F168" s="24">
        <v>67875.27</v>
      </c>
      <c r="G168" s="13">
        <f t="shared" si="2"/>
        <v>135750.54</v>
      </c>
      <c r="H168" s="14">
        <v>0.64</v>
      </c>
      <c r="I168" s="13">
        <v>65255</v>
      </c>
    </row>
    <row r="169" spans="1:9" x14ac:dyDescent="0.25">
      <c r="A169" s="4" t="s">
        <v>402</v>
      </c>
      <c r="B169" s="4" t="s">
        <v>891</v>
      </c>
      <c r="C169" s="4" t="s">
        <v>32</v>
      </c>
      <c r="D169" s="12">
        <v>1798</v>
      </c>
      <c r="E169" s="12">
        <v>1297</v>
      </c>
      <c r="F169" s="24">
        <v>22.75</v>
      </c>
      <c r="G169" s="13">
        <f t="shared" si="2"/>
        <v>40904.5</v>
      </c>
      <c r="H169" s="14">
        <v>0.82</v>
      </c>
      <c r="I169" s="13">
        <v>30615</v>
      </c>
    </row>
    <row r="170" spans="1:9" x14ac:dyDescent="0.25">
      <c r="A170" s="4" t="s">
        <v>403</v>
      </c>
      <c r="B170" s="4" t="s">
        <v>926</v>
      </c>
      <c r="C170" s="4" t="s">
        <v>237</v>
      </c>
      <c r="D170" s="12">
        <v>56</v>
      </c>
      <c r="E170" s="12">
        <v>50</v>
      </c>
      <c r="F170" s="24">
        <v>860.15</v>
      </c>
      <c r="G170" s="13">
        <f t="shared" si="2"/>
        <v>48168.4</v>
      </c>
      <c r="H170" s="14">
        <v>1</v>
      </c>
      <c r="I170" s="13">
        <v>45832</v>
      </c>
    </row>
    <row r="171" spans="1:9" x14ac:dyDescent="0.25">
      <c r="A171" s="4" t="s">
        <v>404</v>
      </c>
      <c r="B171" s="4" t="s">
        <v>920</v>
      </c>
      <c r="C171" s="4" t="s">
        <v>45</v>
      </c>
      <c r="D171" s="12">
        <v>22154</v>
      </c>
      <c r="E171" s="12">
        <v>10391</v>
      </c>
      <c r="F171" s="24">
        <v>0.94</v>
      </c>
      <c r="G171" s="13">
        <f t="shared" si="2"/>
        <v>20824.759999999998</v>
      </c>
      <c r="H171" s="14">
        <v>0.56999999999999995</v>
      </c>
      <c r="I171" s="13">
        <v>9260</v>
      </c>
    </row>
    <row r="172" spans="1:9" x14ac:dyDescent="0.25">
      <c r="A172" s="4" t="s">
        <v>405</v>
      </c>
      <c r="B172" s="4" t="s">
        <v>924</v>
      </c>
      <c r="C172" s="4" t="s">
        <v>45</v>
      </c>
      <c r="D172" s="12">
        <v>15638</v>
      </c>
      <c r="E172" s="12">
        <v>12580</v>
      </c>
      <c r="F172" s="24">
        <v>1.4</v>
      </c>
      <c r="G172" s="13">
        <f t="shared" si="2"/>
        <v>21893.199999999997</v>
      </c>
      <c r="H172" s="14">
        <v>0.89</v>
      </c>
      <c r="I172" s="13">
        <v>16677</v>
      </c>
    </row>
    <row r="173" spans="1:9" x14ac:dyDescent="0.25">
      <c r="A173" s="4" t="s">
        <v>406</v>
      </c>
      <c r="B173" s="4" t="s">
        <v>891</v>
      </c>
      <c r="C173" s="4" t="s">
        <v>32</v>
      </c>
      <c r="D173" s="12">
        <v>2463</v>
      </c>
      <c r="E173" s="12">
        <v>1874</v>
      </c>
      <c r="F173" s="24">
        <v>29.92</v>
      </c>
      <c r="G173" s="13">
        <f t="shared" si="2"/>
        <v>73692.960000000006</v>
      </c>
      <c r="H173" s="14">
        <v>0.8</v>
      </c>
      <c r="I173" s="13">
        <v>62577</v>
      </c>
    </row>
    <row r="174" spans="1:9" x14ac:dyDescent="0.25">
      <c r="A174" s="4" t="s">
        <v>407</v>
      </c>
      <c r="B174" s="4" t="s">
        <v>927</v>
      </c>
      <c r="C174" s="4" t="s">
        <v>32</v>
      </c>
      <c r="D174" s="12">
        <v>1233</v>
      </c>
      <c r="E174" s="12">
        <v>724</v>
      </c>
      <c r="F174" s="24">
        <v>25.28</v>
      </c>
      <c r="G174" s="13">
        <f t="shared" si="2"/>
        <v>31170.240000000002</v>
      </c>
      <c r="H174" s="14">
        <v>0.76</v>
      </c>
      <c r="I174" s="13">
        <v>17352</v>
      </c>
    </row>
    <row r="175" spans="1:9" x14ac:dyDescent="0.25">
      <c r="A175" s="4" t="s">
        <v>408</v>
      </c>
      <c r="B175" s="4" t="s">
        <v>898</v>
      </c>
      <c r="C175" s="4" t="s">
        <v>32</v>
      </c>
      <c r="D175" s="12">
        <v>1187</v>
      </c>
      <c r="E175" s="12">
        <v>847</v>
      </c>
      <c r="F175" s="24">
        <v>20.54</v>
      </c>
      <c r="G175" s="13">
        <f t="shared" si="2"/>
        <v>24380.98</v>
      </c>
      <c r="H175" s="14">
        <v>0.86</v>
      </c>
      <c r="I175" s="13">
        <v>17795</v>
      </c>
    </row>
    <row r="176" spans="1:9" x14ac:dyDescent="0.25">
      <c r="A176" s="4" t="s">
        <v>409</v>
      </c>
      <c r="B176" s="4" t="s">
        <v>903</v>
      </c>
      <c r="C176" s="4" t="s">
        <v>237</v>
      </c>
      <c r="D176" s="12">
        <v>1</v>
      </c>
      <c r="E176" s="12">
        <v>1</v>
      </c>
      <c r="F176" s="24">
        <v>123315.07</v>
      </c>
      <c r="G176" s="13">
        <f t="shared" si="2"/>
        <v>123315.07</v>
      </c>
      <c r="H176" s="14">
        <v>1</v>
      </c>
      <c r="I176" s="13">
        <v>129507</v>
      </c>
    </row>
    <row r="177" spans="1:9" x14ac:dyDescent="0.25">
      <c r="A177" s="4" t="s">
        <v>410</v>
      </c>
      <c r="B177" s="4" t="s">
        <v>887</v>
      </c>
      <c r="C177" s="4" t="s">
        <v>32</v>
      </c>
      <c r="D177" s="12">
        <v>2670</v>
      </c>
      <c r="E177" s="12">
        <v>1800</v>
      </c>
      <c r="F177" s="24">
        <v>5.26</v>
      </c>
      <c r="G177" s="13">
        <f t="shared" si="2"/>
        <v>14044.199999999999</v>
      </c>
      <c r="H177" s="14">
        <v>0.8</v>
      </c>
      <c r="I177" s="13">
        <v>10472</v>
      </c>
    </row>
    <row r="178" spans="1:9" x14ac:dyDescent="0.25">
      <c r="A178" s="4" t="s">
        <v>411</v>
      </c>
      <c r="B178" s="4" t="s">
        <v>892</v>
      </c>
      <c r="C178" s="4" t="s">
        <v>240</v>
      </c>
      <c r="D178" s="12">
        <v>2032</v>
      </c>
      <c r="E178" s="12">
        <v>1158</v>
      </c>
      <c r="F178" s="24">
        <v>51.05</v>
      </c>
      <c r="G178" s="13">
        <f t="shared" si="2"/>
        <v>103733.59999999999</v>
      </c>
      <c r="H178" s="14">
        <v>0.71</v>
      </c>
      <c r="I178" s="13">
        <v>58271</v>
      </c>
    </row>
    <row r="179" spans="1:9" x14ac:dyDescent="0.25">
      <c r="A179" s="4" t="s">
        <v>412</v>
      </c>
      <c r="B179" s="4" t="s">
        <v>911</v>
      </c>
      <c r="C179" s="4" t="s">
        <v>240</v>
      </c>
      <c r="D179" s="12">
        <v>1177</v>
      </c>
      <c r="E179" s="12">
        <v>811</v>
      </c>
      <c r="F179" s="24">
        <v>69.92</v>
      </c>
      <c r="G179" s="13">
        <f t="shared" si="2"/>
        <v>82295.839999999997</v>
      </c>
      <c r="H179" s="14">
        <v>0.89</v>
      </c>
      <c r="I179" s="13">
        <v>59895</v>
      </c>
    </row>
    <row r="180" spans="1:9" x14ac:dyDescent="0.25">
      <c r="A180" s="4" t="s">
        <v>413</v>
      </c>
      <c r="B180" s="4" t="s">
        <v>884</v>
      </c>
      <c r="C180" s="4" t="s">
        <v>240</v>
      </c>
      <c r="D180" s="12">
        <v>2451</v>
      </c>
      <c r="E180" s="12">
        <v>1737</v>
      </c>
      <c r="F180" s="24">
        <v>73.099999999999994</v>
      </c>
      <c r="G180" s="13">
        <f t="shared" si="2"/>
        <v>179168.09999999998</v>
      </c>
      <c r="H180" s="14">
        <v>0.81</v>
      </c>
      <c r="I180" s="13">
        <v>126032</v>
      </c>
    </row>
    <row r="181" spans="1:9" x14ac:dyDescent="0.25">
      <c r="A181" s="4" t="s">
        <v>414</v>
      </c>
      <c r="B181" s="4" t="s">
        <v>914</v>
      </c>
      <c r="C181" s="4" t="s">
        <v>32</v>
      </c>
      <c r="D181" s="12">
        <v>2925</v>
      </c>
      <c r="E181" s="12">
        <v>1476</v>
      </c>
      <c r="F181" s="24">
        <v>2.88</v>
      </c>
      <c r="G181" s="13">
        <f t="shared" si="2"/>
        <v>8424</v>
      </c>
      <c r="H181" s="14">
        <v>0.56999999999999995</v>
      </c>
      <c r="I181" s="13">
        <v>4482</v>
      </c>
    </row>
    <row r="182" spans="1:9" x14ac:dyDescent="0.25">
      <c r="A182" s="4" t="s">
        <v>415</v>
      </c>
      <c r="B182" s="4" t="s">
        <v>901</v>
      </c>
      <c r="C182" s="4" t="s">
        <v>237</v>
      </c>
      <c r="D182" s="12">
        <v>1</v>
      </c>
      <c r="E182" s="12">
        <v>1</v>
      </c>
      <c r="F182" s="24">
        <v>87250.98</v>
      </c>
      <c r="G182" s="13">
        <f t="shared" si="2"/>
        <v>87250.98</v>
      </c>
      <c r="H182" s="14">
        <v>1</v>
      </c>
      <c r="I182" s="13">
        <v>90044</v>
      </c>
    </row>
    <row r="183" spans="1:9" x14ac:dyDescent="0.25">
      <c r="A183" s="4" t="s">
        <v>416</v>
      </c>
      <c r="B183" s="4" t="s">
        <v>910</v>
      </c>
      <c r="C183" s="4" t="s">
        <v>27</v>
      </c>
      <c r="D183" s="12">
        <v>1480</v>
      </c>
      <c r="E183" s="12">
        <v>737</v>
      </c>
      <c r="F183" s="24">
        <v>10.86</v>
      </c>
      <c r="G183" s="13">
        <f t="shared" si="2"/>
        <v>16072.8</v>
      </c>
      <c r="H183" s="14">
        <v>0.55000000000000004</v>
      </c>
      <c r="I183" s="13">
        <v>8464</v>
      </c>
    </row>
    <row r="184" spans="1:9" x14ac:dyDescent="0.25">
      <c r="A184" s="4" t="s">
        <v>417</v>
      </c>
      <c r="B184" s="4" t="s">
        <v>903</v>
      </c>
      <c r="C184" s="4" t="s">
        <v>237</v>
      </c>
      <c r="D184" s="12">
        <v>1</v>
      </c>
      <c r="E184" s="12">
        <v>1</v>
      </c>
      <c r="F184" s="24">
        <v>94166.96</v>
      </c>
      <c r="G184" s="13">
        <f t="shared" si="2"/>
        <v>94166.96</v>
      </c>
      <c r="H184" s="14">
        <v>1</v>
      </c>
      <c r="I184" s="13">
        <v>88872</v>
      </c>
    </row>
    <row r="185" spans="1:9" x14ac:dyDescent="0.25">
      <c r="A185" s="4" t="s">
        <v>418</v>
      </c>
      <c r="B185" s="4" t="s">
        <v>912</v>
      </c>
      <c r="C185" s="4" t="s">
        <v>240</v>
      </c>
      <c r="D185" s="12">
        <v>1910</v>
      </c>
      <c r="E185" s="12">
        <v>1309</v>
      </c>
      <c r="F185" s="24">
        <v>71.73</v>
      </c>
      <c r="G185" s="13">
        <f t="shared" si="2"/>
        <v>137004.30000000002</v>
      </c>
      <c r="H185" s="14">
        <v>0.86</v>
      </c>
      <c r="I185" s="13">
        <v>94351</v>
      </c>
    </row>
    <row r="186" spans="1:9" x14ac:dyDescent="0.25">
      <c r="A186" s="4" t="s">
        <v>419</v>
      </c>
      <c r="B186" s="4" t="s">
        <v>920</v>
      </c>
      <c r="C186" s="4" t="s">
        <v>45</v>
      </c>
      <c r="D186" s="12">
        <v>22418</v>
      </c>
      <c r="E186" s="12">
        <v>16272</v>
      </c>
      <c r="F186" s="24">
        <v>1.33</v>
      </c>
      <c r="G186" s="13">
        <f t="shared" si="2"/>
        <v>29815.940000000002</v>
      </c>
      <c r="H186" s="14">
        <v>0.89</v>
      </c>
      <c r="I186" s="13">
        <v>20845</v>
      </c>
    </row>
    <row r="187" spans="1:9" x14ac:dyDescent="0.25">
      <c r="A187" s="4" t="s">
        <v>420</v>
      </c>
      <c r="B187" s="4" t="s">
        <v>903</v>
      </c>
      <c r="C187" s="4" t="s">
        <v>237</v>
      </c>
      <c r="D187" s="12">
        <v>2</v>
      </c>
      <c r="E187" s="12">
        <v>1</v>
      </c>
      <c r="F187" s="24">
        <v>63034.63</v>
      </c>
      <c r="G187" s="13">
        <f t="shared" si="2"/>
        <v>126069.26</v>
      </c>
      <c r="H187" s="14">
        <v>0.54</v>
      </c>
      <c r="I187" s="13">
        <v>70011</v>
      </c>
    </row>
    <row r="188" spans="1:9" x14ac:dyDescent="0.25">
      <c r="A188" s="4" t="s">
        <v>421</v>
      </c>
      <c r="B188" s="4" t="s">
        <v>907</v>
      </c>
      <c r="C188" s="4" t="s">
        <v>32</v>
      </c>
      <c r="D188" s="12">
        <v>2719</v>
      </c>
      <c r="E188" s="12">
        <v>2166</v>
      </c>
      <c r="F188" s="24">
        <v>4.47</v>
      </c>
      <c r="G188" s="13">
        <f t="shared" si="2"/>
        <v>12153.929999999998</v>
      </c>
      <c r="H188" s="14">
        <v>0.89</v>
      </c>
      <c r="I188" s="13">
        <v>9963</v>
      </c>
    </row>
    <row r="189" spans="1:9" x14ac:dyDescent="0.25">
      <c r="A189" s="4" t="s">
        <v>422</v>
      </c>
      <c r="B189" s="4" t="s">
        <v>910</v>
      </c>
      <c r="C189" s="4" t="s">
        <v>27</v>
      </c>
      <c r="D189" s="12">
        <v>1362</v>
      </c>
      <c r="E189" s="12">
        <v>1051</v>
      </c>
      <c r="F189" s="24">
        <v>9.66</v>
      </c>
      <c r="G189" s="13">
        <f t="shared" si="2"/>
        <v>13156.92</v>
      </c>
      <c r="H189" s="14">
        <v>0.87</v>
      </c>
      <c r="I189" s="13">
        <v>9770</v>
      </c>
    </row>
    <row r="190" spans="1:9" x14ac:dyDescent="0.25">
      <c r="A190" s="4" t="s">
        <v>423</v>
      </c>
      <c r="B190" s="4" t="s">
        <v>886</v>
      </c>
      <c r="C190" s="4" t="s">
        <v>32</v>
      </c>
      <c r="D190" s="12">
        <v>2756</v>
      </c>
      <c r="E190" s="12">
        <v>1450</v>
      </c>
      <c r="F190" s="24">
        <v>4.6500000000000004</v>
      </c>
      <c r="G190" s="13">
        <f t="shared" si="2"/>
        <v>12815.400000000001</v>
      </c>
      <c r="H190" s="14">
        <v>0.61</v>
      </c>
      <c r="I190" s="13">
        <v>6804</v>
      </c>
    </row>
    <row r="191" spans="1:9" x14ac:dyDescent="0.25">
      <c r="A191" s="4" t="s">
        <v>424</v>
      </c>
      <c r="B191" s="4" t="s">
        <v>889</v>
      </c>
      <c r="C191" s="4" t="s">
        <v>27</v>
      </c>
      <c r="D191" s="12">
        <v>337</v>
      </c>
      <c r="E191" s="12">
        <v>167</v>
      </c>
      <c r="F191" s="24">
        <v>7.1</v>
      </c>
      <c r="G191" s="13">
        <f t="shared" si="2"/>
        <v>2392.6999999999998</v>
      </c>
      <c r="H191" s="14">
        <v>0.68</v>
      </c>
      <c r="I191" s="13">
        <v>1190</v>
      </c>
    </row>
    <row r="192" spans="1:9" x14ac:dyDescent="0.25">
      <c r="A192" s="4" t="s">
        <v>425</v>
      </c>
      <c r="B192" s="4" t="s">
        <v>913</v>
      </c>
      <c r="C192" s="4" t="s">
        <v>237</v>
      </c>
      <c r="D192" s="12">
        <v>2</v>
      </c>
      <c r="E192" s="12">
        <v>1</v>
      </c>
      <c r="F192" s="24">
        <v>122163.36</v>
      </c>
      <c r="G192" s="13">
        <f t="shared" si="2"/>
        <v>244326.72</v>
      </c>
      <c r="H192" s="14">
        <v>0.6</v>
      </c>
      <c r="I192" s="13">
        <v>126657</v>
      </c>
    </row>
    <row r="193" spans="1:9" x14ac:dyDescent="0.25">
      <c r="A193" s="4" t="s">
        <v>426</v>
      </c>
      <c r="B193" s="4" t="s">
        <v>918</v>
      </c>
      <c r="C193" s="4" t="s">
        <v>237</v>
      </c>
      <c r="D193" s="12">
        <v>1</v>
      </c>
      <c r="E193" s="12">
        <v>1</v>
      </c>
      <c r="F193" s="24">
        <v>131018.34</v>
      </c>
      <c r="G193" s="13">
        <f t="shared" si="2"/>
        <v>131018.34</v>
      </c>
      <c r="H193" s="14">
        <v>1</v>
      </c>
      <c r="I193" s="13">
        <v>136230</v>
      </c>
    </row>
    <row r="194" spans="1:9" x14ac:dyDescent="0.25">
      <c r="A194" s="4" t="s">
        <v>427</v>
      </c>
      <c r="B194" s="4" t="s">
        <v>903</v>
      </c>
      <c r="C194" s="4" t="s">
        <v>237</v>
      </c>
      <c r="D194" s="12">
        <v>1</v>
      </c>
      <c r="E194" s="12">
        <v>1</v>
      </c>
      <c r="F194" s="24">
        <v>94603.27</v>
      </c>
      <c r="G194" s="13">
        <f t="shared" si="2"/>
        <v>94603.27</v>
      </c>
      <c r="H194" s="14">
        <v>1</v>
      </c>
      <c r="I194" s="13">
        <v>100666</v>
      </c>
    </row>
    <row r="195" spans="1:9" x14ac:dyDescent="0.25">
      <c r="A195" s="4" t="s">
        <v>428</v>
      </c>
      <c r="B195" s="4" t="s">
        <v>921</v>
      </c>
      <c r="C195" s="4" t="s">
        <v>237</v>
      </c>
      <c r="D195" s="12">
        <v>1</v>
      </c>
      <c r="E195" s="12">
        <v>0</v>
      </c>
      <c r="F195" s="24">
        <v>100183.09</v>
      </c>
      <c r="G195" s="13">
        <f t="shared" si="2"/>
        <v>100183.09</v>
      </c>
      <c r="H195" s="14">
        <v>0.18</v>
      </c>
      <c r="I195" s="13">
        <v>0</v>
      </c>
    </row>
    <row r="196" spans="1:9" x14ac:dyDescent="0.25">
      <c r="A196" s="4" t="s">
        <v>429</v>
      </c>
      <c r="B196" s="4" t="s">
        <v>908</v>
      </c>
      <c r="C196" s="4" t="s">
        <v>237</v>
      </c>
      <c r="D196" s="12">
        <v>2</v>
      </c>
      <c r="E196" s="12">
        <v>1</v>
      </c>
      <c r="F196" s="24">
        <v>61711.33</v>
      </c>
      <c r="G196" s="13">
        <f t="shared" si="2"/>
        <v>123422.66</v>
      </c>
      <c r="H196" s="14">
        <v>0.69</v>
      </c>
      <c r="I196" s="13">
        <v>65503</v>
      </c>
    </row>
    <row r="197" spans="1:9" x14ac:dyDescent="0.25">
      <c r="A197" s="4" t="s">
        <v>430</v>
      </c>
      <c r="B197" s="4" t="s">
        <v>882</v>
      </c>
      <c r="C197" s="4" t="s">
        <v>237</v>
      </c>
      <c r="D197" s="12">
        <v>77</v>
      </c>
      <c r="E197" s="12">
        <v>50</v>
      </c>
      <c r="F197" s="24">
        <v>1201.8900000000001</v>
      </c>
      <c r="G197" s="13">
        <f t="shared" ref="G197:G260" si="3">D197*F197</f>
        <v>92545.530000000013</v>
      </c>
      <c r="H197" s="14">
        <v>0.79</v>
      </c>
      <c r="I197" s="13">
        <v>59118</v>
      </c>
    </row>
    <row r="198" spans="1:9" x14ac:dyDescent="0.25">
      <c r="A198" s="4" t="s">
        <v>431</v>
      </c>
      <c r="B198" s="4" t="s">
        <v>883</v>
      </c>
      <c r="C198" s="4" t="s">
        <v>240</v>
      </c>
      <c r="D198" s="12">
        <v>1898</v>
      </c>
      <c r="E198" s="12">
        <v>1067</v>
      </c>
      <c r="F198" s="24">
        <v>68.180000000000007</v>
      </c>
      <c r="G198" s="13">
        <f t="shared" si="3"/>
        <v>129405.64000000001</v>
      </c>
      <c r="H198" s="14">
        <v>0.61</v>
      </c>
      <c r="I198" s="13">
        <v>77672</v>
      </c>
    </row>
    <row r="199" spans="1:9" x14ac:dyDescent="0.25">
      <c r="A199" s="4" t="s">
        <v>432</v>
      </c>
      <c r="B199" s="4" t="s">
        <v>913</v>
      </c>
      <c r="C199" s="4" t="s">
        <v>237</v>
      </c>
      <c r="D199" s="12">
        <v>1</v>
      </c>
      <c r="E199" s="12">
        <v>1</v>
      </c>
      <c r="F199" s="24">
        <v>83844.34</v>
      </c>
      <c r="G199" s="13">
        <f t="shared" si="3"/>
        <v>83844.34</v>
      </c>
      <c r="H199" s="14">
        <v>1</v>
      </c>
      <c r="I199" s="13">
        <v>81716</v>
      </c>
    </row>
    <row r="200" spans="1:9" x14ac:dyDescent="0.25">
      <c r="A200" s="4" t="s">
        <v>433</v>
      </c>
      <c r="B200" s="4" t="s">
        <v>885</v>
      </c>
      <c r="C200" s="4" t="s">
        <v>27</v>
      </c>
      <c r="D200" s="12">
        <v>1143</v>
      </c>
      <c r="E200" s="12">
        <v>954</v>
      </c>
      <c r="F200" s="24">
        <v>10.4</v>
      </c>
      <c r="G200" s="13">
        <f t="shared" si="3"/>
        <v>11887.2</v>
      </c>
      <c r="H200" s="14">
        <v>0.93</v>
      </c>
      <c r="I200" s="13">
        <v>9874</v>
      </c>
    </row>
    <row r="201" spans="1:9" x14ac:dyDescent="0.25">
      <c r="A201" s="4" t="s">
        <v>434</v>
      </c>
      <c r="B201" s="4" t="s">
        <v>892</v>
      </c>
      <c r="C201" s="4" t="s">
        <v>240</v>
      </c>
      <c r="D201" s="12">
        <v>530</v>
      </c>
      <c r="E201" s="12">
        <v>453</v>
      </c>
      <c r="F201" s="24">
        <v>40.6</v>
      </c>
      <c r="G201" s="13">
        <f t="shared" si="3"/>
        <v>21518</v>
      </c>
      <c r="H201" s="14">
        <v>1</v>
      </c>
      <c r="I201" s="13">
        <v>18359</v>
      </c>
    </row>
    <row r="202" spans="1:9" x14ac:dyDescent="0.25">
      <c r="A202" s="4" t="s">
        <v>435</v>
      </c>
      <c r="B202" s="4" t="s">
        <v>901</v>
      </c>
      <c r="C202" s="4" t="s">
        <v>237</v>
      </c>
      <c r="D202" s="12">
        <v>2</v>
      </c>
      <c r="E202" s="12">
        <v>1</v>
      </c>
      <c r="F202" s="24">
        <v>106897.41</v>
      </c>
      <c r="G202" s="13">
        <f t="shared" si="3"/>
        <v>213794.82</v>
      </c>
      <c r="H202" s="14">
        <v>0.64</v>
      </c>
      <c r="I202" s="13">
        <v>104741</v>
      </c>
    </row>
    <row r="203" spans="1:9" x14ac:dyDescent="0.25">
      <c r="A203" s="4" t="s">
        <v>436</v>
      </c>
      <c r="B203" s="4" t="s">
        <v>897</v>
      </c>
      <c r="C203" s="4" t="s">
        <v>237</v>
      </c>
      <c r="D203" s="12">
        <v>2</v>
      </c>
      <c r="E203" s="12">
        <v>2</v>
      </c>
      <c r="F203" s="24">
        <v>109227.67</v>
      </c>
      <c r="G203" s="13">
        <f t="shared" si="3"/>
        <v>218455.34</v>
      </c>
      <c r="H203" s="14">
        <v>1</v>
      </c>
      <c r="I203" s="13">
        <v>229729</v>
      </c>
    </row>
    <row r="204" spans="1:9" x14ac:dyDescent="0.25">
      <c r="A204" s="4" t="s">
        <v>437</v>
      </c>
      <c r="B204" s="4" t="s">
        <v>909</v>
      </c>
      <c r="C204" s="4" t="s">
        <v>32</v>
      </c>
      <c r="D204" s="12">
        <v>2755</v>
      </c>
      <c r="E204" s="12">
        <v>1854</v>
      </c>
      <c r="F204" s="24">
        <v>26.31</v>
      </c>
      <c r="G204" s="13">
        <f t="shared" si="3"/>
        <v>72484.05</v>
      </c>
      <c r="H204" s="14">
        <v>0.86</v>
      </c>
      <c r="I204" s="13">
        <v>54133</v>
      </c>
    </row>
    <row r="205" spans="1:9" x14ac:dyDescent="0.25">
      <c r="A205" s="4" t="s">
        <v>438</v>
      </c>
      <c r="B205" s="4" t="s">
        <v>903</v>
      </c>
      <c r="C205" s="4" t="s">
        <v>237</v>
      </c>
      <c r="D205" s="12">
        <v>1</v>
      </c>
      <c r="E205" s="12">
        <v>1</v>
      </c>
      <c r="F205" s="24">
        <v>137954.85</v>
      </c>
      <c r="G205" s="13">
        <f t="shared" si="3"/>
        <v>137954.85</v>
      </c>
      <c r="H205" s="14">
        <v>1</v>
      </c>
      <c r="I205" s="13">
        <v>138888</v>
      </c>
    </row>
    <row r="206" spans="1:9" x14ac:dyDescent="0.25">
      <c r="A206" s="4" t="s">
        <v>439</v>
      </c>
      <c r="B206" s="4" t="s">
        <v>909</v>
      </c>
      <c r="C206" s="4" t="s">
        <v>32</v>
      </c>
      <c r="D206" s="12">
        <v>3041</v>
      </c>
      <c r="E206" s="12">
        <v>1902</v>
      </c>
      <c r="F206" s="24">
        <v>18.38</v>
      </c>
      <c r="G206" s="13">
        <f t="shared" si="3"/>
        <v>55893.579999999994</v>
      </c>
      <c r="H206" s="14">
        <v>0.78</v>
      </c>
      <c r="I206" s="13">
        <v>37486</v>
      </c>
    </row>
    <row r="207" spans="1:9" x14ac:dyDescent="0.25">
      <c r="A207" s="4" t="s">
        <v>440</v>
      </c>
      <c r="B207" s="4" t="s">
        <v>889</v>
      </c>
      <c r="C207" s="4" t="s">
        <v>27</v>
      </c>
      <c r="D207" s="12">
        <v>989</v>
      </c>
      <c r="E207" s="12">
        <v>544</v>
      </c>
      <c r="F207" s="24">
        <v>10.94</v>
      </c>
      <c r="G207" s="13">
        <f t="shared" si="3"/>
        <v>10819.66</v>
      </c>
      <c r="H207" s="14">
        <v>0.64</v>
      </c>
      <c r="I207" s="13">
        <v>6079</v>
      </c>
    </row>
    <row r="208" spans="1:9" x14ac:dyDescent="0.25">
      <c r="A208" s="4" t="s">
        <v>441</v>
      </c>
      <c r="B208" s="4" t="s">
        <v>920</v>
      </c>
      <c r="C208" s="4" t="s">
        <v>45</v>
      </c>
      <c r="D208" s="12">
        <v>29710</v>
      </c>
      <c r="E208" s="12">
        <v>25072</v>
      </c>
      <c r="F208" s="24">
        <v>1.36</v>
      </c>
      <c r="G208" s="13">
        <f t="shared" si="3"/>
        <v>40405.600000000006</v>
      </c>
      <c r="H208" s="14">
        <v>0.96</v>
      </c>
      <c r="I208" s="13">
        <v>37196</v>
      </c>
    </row>
    <row r="209" spans="1:9" x14ac:dyDescent="0.25">
      <c r="A209" s="4" t="s">
        <v>442</v>
      </c>
      <c r="B209" s="4" t="s">
        <v>894</v>
      </c>
      <c r="C209" s="4" t="s">
        <v>45</v>
      </c>
      <c r="D209" s="12">
        <v>13171</v>
      </c>
      <c r="E209" s="12">
        <v>10626</v>
      </c>
      <c r="F209" s="24">
        <v>0.94</v>
      </c>
      <c r="G209" s="13">
        <f t="shared" si="3"/>
        <v>12380.74</v>
      </c>
      <c r="H209" s="14">
        <v>0.89</v>
      </c>
      <c r="I209" s="13">
        <v>10802</v>
      </c>
    </row>
    <row r="210" spans="1:9" x14ac:dyDescent="0.25">
      <c r="A210" s="4" t="s">
        <v>443</v>
      </c>
      <c r="B210" s="4" t="s">
        <v>927</v>
      </c>
      <c r="C210" s="4" t="s">
        <v>32</v>
      </c>
      <c r="D210" s="12">
        <v>2881</v>
      </c>
      <c r="E210" s="12">
        <v>1521</v>
      </c>
      <c r="F210" s="24">
        <v>26.28</v>
      </c>
      <c r="G210" s="13">
        <f t="shared" si="3"/>
        <v>75712.680000000008</v>
      </c>
      <c r="H210" s="14">
        <v>0.63</v>
      </c>
      <c r="I210" s="13">
        <v>40515</v>
      </c>
    </row>
    <row r="211" spans="1:9" x14ac:dyDescent="0.25">
      <c r="A211" s="4" t="s">
        <v>444</v>
      </c>
      <c r="B211" s="4" t="s">
        <v>881</v>
      </c>
      <c r="C211" s="4" t="s">
        <v>237</v>
      </c>
      <c r="D211" s="12">
        <v>2</v>
      </c>
      <c r="E211" s="12">
        <v>1</v>
      </c>
      <c r="F211" s="24">
        <v>107276.13</v>
      </c>
      <c r="G211" s="13">
        <f t="shared" si="3"/>
        <v>214552.26</v>
      </c>
      <c r="H211" s="14">
        <v>0.7</v>
      </c>
      <c r="I211" s="13">
        <v>105337</v>
      </c>
    </row>
    <row r="212" spans="1:9" x14ac:dyDescent="0.25">
      <c r="A212" s="4" t="s">
        <v>445</v>
      </c>
      <c r="B212" s="4" t="s">
        <v>887</v>
      </c>
      <c r="C212" s="4" t="s">
        <v>32</v>
      </c>
      <c r="D212" s="12">
        <v>1986</v>
      </c>
      <c r="E212" s="12">
        <v>1153</v>
      </c>
      <c r="F212" s="24">
        <v>4.6100000000000003</v>
      </c>
      <c r="G212" s="13">
        <f t="shared" si="3"/>
        <v>9155.4600000000009</v>
      </c>
      <c r="H212" s="14">
        <v>0.71</v>
      </c>
      <c r="I212" s="13">
        <v>5616</v>
      </c>
    </row>
    <row r="213" spans="1:9" x14ac:dyDescent="0.25">
      <c r="A213" s="4" t="s">
        <v>446</v>
      </c>
      <c r="B213" s="4" t="s">
        <v>916</v>
      </c>
      <c r="C213" s="4" t="s">
        <v>237</v>
      </c>
      <c r="D213" s="12">
        <v>77</v>
      </c>
      <c r="E213" s="12">
        <v>39</v>
      </c>
      <c r="F213" s="24">
        <v>686.19</v>
      </c>
      <c r="G213" s="13">
        <f t="shared" si="3"/>
        <v>52836.630000000005</v>
      </c>
      <c r="H213" s="14">
        <v>0.63</v>
      </c>
      <c r="I213" s="13">
        <v>25905</v>
      </c>
    </row>
    <row r="214" spans="1:9" x14ac:dyDescent="0.25">
      <c r="A214" s="4" t="s">
        <v>447</v>
      </c>
      <c r="B214" s="4" t="s">
        <v>905</v>
      </c>
      <c r="C214" s="4" t="s">
        <v>32</v>
      </c>
      <c r="D214" s="12">
        <v>1477</v>
      </c>
      <c r="E214" s="12">
        <v>921</v>
      </c>
      <c r="F214" s="24">
        <v>19.850000000000001</v>
      </c>
      <c r="G214" s="13">
        <f t="shared" si="3"/>
        <v>29318.45</v>
      </c>
      <c r="H214" s="14">
        <v>0.73</v>
      </c>
      <c r="I214" s="13">
        <v>18341</v>
      </c>
    </row>
    <row r="215" spans="1:9" x14ac:dyDescent="0.25">
      <c r="A215" s="4" t="s">
        <v>448</v>
      </c>
      <c r="B215" s="4" t="s">
        <v>884</v>
      </c>
      <c r="C215" s="4" t="s">
        <v>240</v>
      </c>
      <c r="D215" s="12">
        <v>1581</v>
      </c>
      <c r="E215" s="12">
        <v>758</v>
      </c>
      <c r="F215" s="24">
        <v>70.33</v>
      </c>
      <c r="G215" s="13">
        <f t="shared" si="3"/>
        <v>111191.73</v>
      </c>
      <c r="H215" s="14">
        <v>0.54</v>
      </c>
      <c r="I215" s="13">
        <v>58621</v>
      </c>
    </row>
    <row r="216" spans="1:9" x14ac:dyDescent="0.25">
      <c r="A216" s="4" t="s">
        <v>449</v>
      </c>
      <c r="B216" s="4" t="s">
        <v>913</v>
      </c>
      <c r="C216" s="4" t="s">
        <v>237</v>
      </c>
      <c r="D216" s="12">
        <v>2</v>
      </c>
      <c r="E216" s="12">
        <v>2</v>
      </c>
      <c r="F216" s="24">
        <v>138679.45000000001</v>
      </c>
      <c r="G216" s="13">
        <f t="shared" si="3"/>
        <v>277358.90000000002</v>
      </c>
      <c r="H216" s="14">
        <v>1</v>
      </c>
      <c r="I216" s="13">
        <v>311062</v>
      </c>
    </row>
    <row r="217" spans="1:9" x14ac:dyDescent="0.25">
      <c r="A217" s="4" t="s">
        <v>450</v>
      </c>
      <c r="B217" s="4" t="s">
        <v>888</v>
      </c>
      <c r="C217" s="4" t="s">
        <v>27</v>
      </c>
      <c r="D217" s="12">
        <v>910</v>
      </c>
      <c r="E217" s="12">
        <v>553</v>
      </c>
      <c r="F217" s="24">
        <v>9.7200000000000006</v>
      </c>
      <c r="G217" s="13">
        <f t="shared" si="3"/>
        <v>8845.2000000000007</v>
      </c>
      <c r="H217" s="14">
        <v>0.69</v>
      </c>
      <c r="I217" s="13">
        <v>5588</v>
      </c>
    </row>
    <row r="218" spans="1:9" x14ac:dyDescent="0.25">
      <c r="A218" s="4" t="s">
        <v>451</v>
      </c>
      <c r="B218" s="4" t="s">
        <v>900</v>
      </c>
      <c r="C218" s="4" t="s">
        <v>27</v>
      </c>
      <c r="D218" s="12">
        <v>981</v>
      </c>
      <c r="E218" s="12">
        <v>526</v>
      </c>
      <c r="F218" s="24">
        <v>8.0399999999999991</v>
      </c>
      <c r="G218" s="13">
        <f t="shared" si="3"/>
        <v>7887.2399999999989</v>
      </c>
      <c r="H218" s="14">
        <v>0.62</v>
      </c>
      <c r="I218" s="13">
        <v>4230</v>
      </c>
    </row>
    <row r="219" spans="1:9" x14ac:dyDescent="0.25">
      <c r="A219" s="4" t="s">
        <v>452</v>
      </c>
      <c r="B219" s="4" t="s">
        <v>919</v>
      </c>
      <c r="C219" s="4" t="s">
        <v>237</v>
      </c>
      <c r="D219" s="12">
        <v>59</v>
      </c>
      <c r="E219" s="12">
        <v>33</v>
      </c>
      <c r="F219" s="24">
        <v>1056.82</v>
      </c>
      <c r="G219" s="13">
        <f t="shared" si="3"/>
        <v>62352.38</v>
      </c>
      <c r="H219" s="14">
        <v>0.6</v>
      </c>
      <c r="I219" s="13">
        <v>34257</v>
      </c>
    </row>
    <row r="220" spans="1:9" x14ac:dyDescent="0.25">
      <c r="A220" s="4" t="s">
        <v>453</v>
      </c>
      <c r="B220" s="4" t="s">
        <v>902</v>
      </c>
      <c r="C220" s="4" t="s">
        <v>32</v>
      </c>
      <c r="D220" s="12">
        <v>2305</v>
      </c>
      <c r="E220" s="12">
        <v>1726</v>
      </c>
      <c r="F220" s="24">
        <v>4.6900000000000004</v>
      </c>
      <c r="G220" s="13">
        <f t="shared" si="3"/>
        <v>10810.45</v>
      </c>
      <c r="H220" s="14">
        <v>0.84</v>
      </c>
      <c r="I220" s="13">
        <v>9113</v>
      </c>
    </row>
    <row r="221" spans="1:9" x14ac:dyDescent="0.25">
      <c r="A221" s="4" t="s">
        <v>454</v>
      </c>
      <c r="B221" s="4" t="s">
        <v>892</v>
      </c>
      <c r="C221" s="4" t="s">
        <v>240</v>
      </c>
      <c r="D221" s="12">
        <v>1976</v>
      </c>
      <c r="E221" s="12">
        <v>1028</v>
      </c>
      <c r="F221" s="24">
        <v>56.82</v>
      </c>
      <c r="G221" s="13">
        <f t="shared" si="3"/>
        <v>112276.32</v>
      </c>
      <c r="H221" s="14">
        <v>0.67</v>
      </c>
      <c r="I221" s="13">
        <v>56085</v>
      </c>
    </row>
    <row r="222" spans="1:9" x14ac:dyDescent="0.25">
      <c r="A222" s="4" t="s">
        <v>455</v>
      </c>
      <c r="B222" s="4" t="s">
        <v>891</v>
      </c>
      <c r="C222" s="4" t="s">
        <v>32</v>
      </c>
      <c r="D222" s="12">
        <v>656</v>
      </c>
      <c r="E222" s="12">
        <v>323</v>
      </c>
      <c r="F222" s="24">
        <v>19.350000000000001</v>
      </c>
      <c r="G222" s="13">
        <f t="shared" si="3"/>
        <v>12693.6</v>
      </c>
      <c r="H222" s="14">
        <v>0.57999999999999996</v>
      </c>
      <c r="I222" s="13">
        <v>6331</v>
      </c>
    </row>
    <row r="223" spans="1:9" x14ac:dyDescent="0.25">
      <c r="A223" s="4" t="s">
        <v>456</v>
      </c>
      <c r="B223" s="4" t="s">
        <v>896</v>
      </c>
      <c r="C223" s="4" t="s">
        <v>45</v>
      </c>
      <c r="D223" s="12">
        <v>21100</v>
      </c>
      <c r="E223" s="12">
        <v>17423</v>
      </c>
      <c r="F223" s="24">
        <v>1.1000000000000001</v>
      </c>
      <c r="G223" s="13">
        <f t="shared" si="3"/>
        <v>23210.000000000004</v>
      </c>
      <c r="H223" s="14">
        <v>0.89</v>
      </c>
      <c r="I223" s="13">
        <v>20085</v>
      </c>
    </row>
    <row r="224" spans="1:9" x14ac:dyDescent="0.25">
      <c r="A224" s="4" t="s">
        <v>457</v>
      </c>
      <c r="B224" s="4" t="s">
        <v>916</v>
      </c>
      <c r="C224" s="4" t="s">
        <v>237</v>
      </c>
      <c r="D224" s="12">
        <v>44</v>
      </c>
      <c r="E224" s="12">
        <v>29</v>
      </c>
      <c r="F224" s="24">
        <v>605.30999999999995</v>
      </c>
      <c r="G224" s="13">
        <f t="shared" si="3"/>
        <v>26633.64</v>
      </c>
      <c r="H224" s="14">
        <v>0.83</v>
      </c>
      <c r="I224" s="13">
        <v>17896</v>
      </c>
    </row>
    <row r="225" spans="1:9" x14ac:dyDescent="0.25">
      <c r="A225" s="4" t="s">
        <v>458</v>
      </c>
      <c r="B225" s="4" t="s">
        <v>913</v>
      </c>
      <c r="C225" s="4" t="s">
        <v>237</v>
      </c>
      <c r="D225" s="12">
        <v>2</v>
      </c>
      <c r="E225" s="12">
        <v>2</v>
      </c>
      <c r="F225" s="24">
        <v>89445.18</v>
      </c>
      <c r="G225" s="13">
        <f t="shared" si="3"/>
        <v>178890.36</v>
      </c>
      <c r="H225" s="14">
        <v>1</v>
      </c>
      <c r="I225" s="13">
        <v>202083</v>
      </c>
    </row>
    <row r="226" spans="1:9" x14ac:dyDescent="0.25">
      <c r="A226" s="4" t="s">
        <v>459</v>
      </c>
      <c r="B226" s="4" t="s">
        <v>905</v>
      </c>
      <c r="C226" s="4" t="s">
        <v>32</v>
      </c>
      <c r="D226" s="12">
        <v>2048</v>
      </c>
      <c r="E226" s="12">
        <v>1068</v>
      </c>
      <c r="F226" s="24">
        <v>27.04</v>
      </c>
      <c r="G226" s="13">
        <f t="shared" si="3"/>
        <v>55377.919999999998</v>
      </c>
      <c r="H226" s="14">
        <v>0.62</v>
      </c>
      <c r="I226" s="13">
        <v>28210</v>
      </c>
    </row>
    <row r="227" spans="1:9" x14ac:dyDescent="0.25">
      <c r="A227" s="4" t="s">
        <v>460</v>
      </c>
      <c r="B227" s="4" t="s">
        <v>926</v>
      </c>
      <c r="C227" s="4" t="s">
        <v>237</v>
      </c>
      <c r="D227" s="12">
        <v>25</v>
      </c>
      <c r="E227" s="12">
        <v>19</v>
      </c>
      <c r="F227" s="24">
        <v>1418.43</v>
      </c>
      <c r="G227" s="13">
        <f t="shared" si="3"/>
        <v>35460.75</v>
      </c>
      <c r="H227" s="14">
        <v>0.86</v>
      </c>
      <c r="I227" s="13">
        <v>26148</v>
      </c>
    </row>
    <row r="228" spans="1:9" x14ac:dyDescent="0.25">
      <c r="A228" s="4" t="s">
        <v>461</v>
      </c>
      <c r="B228" s="4" t="s">
        <v>909</v>
      </c>
      <c r="C228" s="4" t="s">
        <v>32</v>
      </c>
      <c r="D228" s="12">
        <v>834</v>
      </c>
      <c r="E228" s="12">
        <v>735</v>
      </c>
      <c r="F228" s="24">
        <v>21.3</v>
      </c>
      <c r="G228" s="13">
        <f t="shared" si="3"/>
        <v>17764.2</v>
      </c>
      <c r="H228" s="14">
        <v>0.95</v>
      </c>
      <c r="I228" s="13">
        <v>17483</v>
      </c>
    </row>
    <row r="229" spans="1:9" x14ac:dyDescent="0.25">
      <c r="A229" s="4" t="s">
        <v>462</v>
      </c>
      <c r="B229" s="4" t="s">
        <v>921</v>
      </c>
      <c r="C229" s="4" t="s">
        <v>237</v>
      </c>
      <c r="D229" s="12">
        <v>1</v>
      </c>
      <c r="E229" s="12">
        <v>1</v>
      </c>
      <c r="F229" s="24">
        <v>107239.34</v>
      </c>
      <c r="G229" s="13">
        <f t="shared" si="3"/>
        <v>107239.34</v>
      </c>
      <c r="H229" s="14">
        <v>1</v>
      </c>
      <c r="I229" s="13">
        <v>115958</v>
      </c>
    </row>
    <row r="230" spans="1:9" x14ac:dyDescent="0.25">
      <c r="A230" s="4" t="s">
        <v>463</v>
      </c>
      <c r="B230" s="4" t="s">
        <v>927</v>
      </c>
      <c r="C230" s="4" t="s">
        <v>32</v>
      </c>
      <c r="D230" s="12">
        <v>1549</v>
      </c>
      <c r="E230" s="12">
        <v>1049</v>
      </c>
      <c r="F230" s="24">
        <v>23.38</v>
      </c>
      <c r="G230" s="13">
        <f t="shared" si="3"/>
        <v>36215.619999999995</v>
      </c>
      <c r="H230" s="14">
        <v>0.75</v>
      </c>
      <c r="I230" s="13">
        <v>26915</v>
      </c>
    </row>
    <row r="231" spans="1:9" x14ac:dyDescent="0.25">
      <c r="A231" s="4" t="s">
        <v>464</v>
      </c>
      <c r="B231" s="4" t="s">
        <v>928</v>
      </c>
      <c r="C231" s="4" t="s">
        <v>237</v>
      </c>
      <c r="D231" s="12">
        <v>1</v>
      </c>
      <c r="E231" s="12">
        <v>1</v>
      </c>
      <c r="F231" s="24">
        <v>99199.18</v>
      </c>
      <c r="G231" s="13">
        <f t="shared" si="3"/>
        <v>99199.18</v>
      </c>
      <c r="H231" s="14">
        <v>1</v>
      </c>
      <c r="I231" s="13">
        <v>108840</v>
      </c>
    </row>
    <row r="232" spans="1:9" x14ac:dyDescent="0.25">
      <c r="A232" s="4" t="s">
        <v>465</v>
      </c>
      <c r="B232" s="4" t="s">
        <v>885</v>
      </c>
      <c r="C232" s="4" t="s">
        <v>27</v>
      </c>
      <c r="D232" s="12">
        <v>1401</v>
      </c>
      <c r="E232" s="12">
        <v>713</v>
      </c>
      <c r="F232" s="24">
        <v>9.8800000000000008</v>
      </c>
      <c r="G232" s="13">
        <f t="shared" si="3"/>
        <v>13841.880000000001</v>
      </c>
      <c r="H232" s="14">
        <v>0.66</v>
      </c>
      <c r="I232" s="13">
        <v>6760</v>
      </c>
    </row>
    <row r="233" spans="1:9" x14ac:dyDescent="0.25">
      <c r="A233" s="4" t="s">
        <v>466</v>
      </c>
      <c r="B233" s="4" t="s">
        <v>924</v>
      </c>
      <c r="C233" s="4" t="s">
        <v>45</v>
      </c>
      <c r="D233" s="12">
        <v>17957</v>
      </c>
      <c r="E233" s="12">
        <v>10188</v>
      </c>
      <c r="F233" s="24">
        <v>0.96</v>
      </c>
      <c r="G233" s="13">
        <f t="shared" si="3"/>
        <v>17238.72</v>
      </c>
      <c r="H233" s="14">
        <v>0.75</v>
      </c>
      <c r="I233" s="13">
        <v>9576</v>
      </c>
    </row>
    <row r="234" spans="1:9" x14ac:dyDescent="0.25">
      <c r="A234" s="4" t="s">
        <v>467</v>
      </c>
      <c r="B234" s="4" t="s">
        <v>897</v>
      </c>
      <c r="C234" s="4" t="s">
        <v>237</v>
      </c>
      <c r="D234" s="12">
        <v>2</v>
      </c>
      <c r="E234" s="12">
        <v>1</v>
      </c>
      <c r="F234" s="24">
        <v>128099.99</v>
      </c>
      <c r="G234" s="13">
        <f t="shared" si="3"/>
        <v>256199.98</v>
      </c>
      <c r="H234" s="14">
        <v>0.6</v>
      </c>
      <c r="I234" s="13">
        <v>138855</v>
      </c>
    </row>
    <row r="235" spans="1:9" x14ac:dyDescent="0.25">
      <c r="A235" s="4" t="s">
        <v>468</v>
      </c>
      <c r="B235" s="4" t="s">
        <v>916</v>
      </c>
      <c r="C235" s="4" t="s">
        <v>237</v>
      </c>
      <c r="D235" s="12">
        <v>43</v>
      </c>
      <c r="E235" s="12">
        <v>24</v>
      </c>
      <c r="F235" s="24">
        <v>794.87</v>
      </c>
      <c r="G235" s="13">
        <f t="shared" si="3"/>
        <v>34179.410000000003</v>
      </c>
      <c r="H235" s="14">
        <v>0.7</v>
      </c>
      <c r="I235" s="13">
        <v>21572</v>
      </c>
    </row>
    <row r="236" spans="1:9" x14ac:dyDescent="0.25">
      <c r="A236" s="4" t="s">
        <v>469</v>
      </c>
      <c r="B236" s="4" t="s">
        <v>883</v>
      </c>
      <c r="C236" s="4" t="s">
        <v>240</v>
      </c>
      <c r="D236" s="12">
        <v>542</v>
      </c>
      <c r="E236" s="12">
        <v>296</v>
      </c>
      <c r="F236" s="24">
        <v>60.35</v>
      </c>
      <c r="G236" s="13">
        <f t="shared" si="3"/>
        <v>32709.7</v>
      </c>
      <c r="H236" s="14">
        <v>0.73</v>
      </c>
      <c r="I236" s="13">
        <v>19963</v>
      </c>
    </row>
    <row r="237" spans="1:9" x14ac:dyDescent="0.25">
      <c r="A237" s="4" t="s">
        <v>470</v>
      </c>
      <c r="B237" s="4" t="s">
        <v>910</v>
      </c>
      <c r="C237" s="4" t="s">
        <v>27</v>
      </c>
      <c r="D237" s="12">
        <v>1197</v>
      </c>
      <c r="E237" s="12">
        <v>605</v>
      </c>
      <c r="F237" s="24">
        <v>11.79</v>
      </c>
      <c r="G237" s="13">
        <f t="shared" si="3"/>
        <v>14112.63</v>
      </c>
      <c r="H237" s="14">
        <v>0.63</v>
      </c>
      <c r="I237" s="13">
        <v>7962</v>
      </c>
    </row>
    <row r="238" spans="1:9" x14ac:dyDescent="0.25">
      <c r="A238" s="4" t="s">
        <v>471</v>
      </c>
      <c r="B238" s="4" t="s">
        <v>907</v>
      </c>
      <c r="C238" s="4" t="s">
        <v>32</v>
      </c>
      <c r="D238" s="12">
        <v>891</v>
      </c>
      <c r="E238" s="12">
        <v>619</v>
      </c>
      <c r="F238" s="24">
        <v>4.68</v>
      </c>
      <c r="G238" s="13">
        <f t="shared" si="3"/>
        <v>4169.88</v>
      </c>
      <c r="H238" s="14">
        <v>0.78</v>
      </c>
      <c r="I238" s="13">
        <v>3164</v>
      </c>
    </row>
    <row r="239" spans="1:9" x14ac:dyDescent="0.25">
      <c r="A239" s="4" t="s">
        <v>472</v>
      </c>
      <c r="B239" s="4" t="s">
        <v>894</v>
      </c>
      <c r="C239" s="4" t="s">
        <v>45</v>
      </c>
      <c r="D239" s="12">
        <v>14443</v>
      </c>
      <c r="E239" s="12">
        <v>11515</v>
      </c>
      <c r="F239" s="24">
        <v>1.24</v>
      </c>
      <c r="G239" s="13">
        <f t="shared" si="3"/>
        <v>17909.32</v>
      </c>
      <c r="H239" s="14">
        <v>0.9</v>
      </c>
      <c r="I239" s="13">
        <v>14803</v>
      </c>
    </row>
    <row r="240" spans="1:9" x14ac:dyDescent="0.25">
      <c r="A240" s="4" t="s">
        <v>473</v>
      </c>
      <c r="B240" s="4" t="s">
        <v>918</v>
      </c>
      <c r="C240" s="4" t="s">
        <v>237</v>
      </c>
      <c r="D240" s="12">
        <v>2</v>
      </c>
      <c r="E240" s="12">
        <v>1</v>
      </c>
      <c r="F240" s="24">
        <v>97609.64</v>
      </c>
      <c r="G240" s="13">
        <f t="shared" si="3"/>
        <v>195219.28</v>
      </c>
      <c r="H240" s="14">
        <v>0.63</v>
      </c>
      <c r="I240" s="13">
        <v>109280</v>
      </c>
    </row>
    <row r="241" spans="1:9" x14ac:dyDescent="0.25">
      <c r="A241" s="4" t="s">
        <v>474</v>
      </c>
      <c r="B241" s="4" t="s">
        <v>905</v>
      </c>
      <c r="C241" s="4" t="s">
        <v>32</v>
      </c>
      <c r="D241" s="12">
        <v>1363</v>
      </c>
      <c r="E241" s="12">
        <v>804</v>
      </c>
      <c r="F241" s="24">
        <v>30.02</v>
      </c>
      <c r="G241" s="13">
        <f t="shared" si="3"/>
        <v>40917.26</v>
      </c>
      <c r="H241" s="14">
        <v>0.69</v>
      </c>
      <c r="I241" s="13">
        <v>25600</v>
      </c>
    </row>
    <row r="242" spans="1:9" x14ac:dyDescent="0.25">
      <c r="A242" s="4" t="s">
        <v>475</v>
      </c>
      <c r="B242" s="4" t="s">
        <v>897</v>
      </c>
      <c r="C242" s="4" t="s">
        <v>237</v>
      </c>
      <c r="D242" s="12">
        <v>1</v>
      </c>
      <c r="E242" s="12">
        <v>0</v>
      </c>
      <c r="F242" s="24">
        <v>135974.24</v>
      </c>
      <c r="G242" s="13">
        <f t="shared" si="3"/>
        <v>135974.24</v>
      </c>
      <c r="H242" s="14">
        <v>7.0000000000000007E-2</v>
      </c>
      <c r="I242" s="13">
        <v>0</v>
      </c>
    </row>
    <row r="243" spans="1:9" x14ac:dyDescent="0.25">
      <c r="A243" s="4" t="s">
        <v>476</v>
      </c>
      <c r="B243" s="4" t="s">
        <v>892</v>
      </c>
      <c r="C243" s="4" t="s">
        <v>240</v>
      </c>
      <c r="D243" s="12">
        <v>2664</v>
      </c>
      <c r="E243" s="12">
        <v>2219</v>
      </c>
      <c r="F243" s="24">
        <v>72.91</v>
      </c>
      <c r="G243" s="13">
        <f t="shared" si="3"/>
        <v>194232.24</v>
      </c>
      <c r="H243" s="14">
        <v>0.92</v>
      </c>
      <c r="I243" s="13">
        <v>159466</v>
      </c>
    </row>
    <row r="244" spans="1:9" x14ac:dyDescent="0.25">
      <c r="A244" s="4" t="s">
        <v>477</v>
      </c>
      <c r="B244" s="4" t="s">
        <v>894</v>
      </c>
      <c r="C244" s="4" t="s">
        <v>45</v>
      </c>
      <c r="D244" s="12">
        <v>29767</v>
      </c>
      <c r="E244" s="12">
        <v>22273</v>
      </c>
      <c r="F244" s="24">
        <v>1.21</v>
      </c>
      <c r="G244" s="13">
        <f t="shared" si="3"/>
        <v>36018.07</v>
      </c>
      <c r="H244" s="14">
        <v>0.81</v>
      </c>
      <c r="I244" s="13">
        <v>25977</v>
      </c>
    </row>
    <row r="245" spans="1:9" x14ac:dyDescent="0.25">
      <c r="A245" s="4" t="s">
        <v>478</v>
      </c>
      <c r="B245" s="4" t="s">
        <v>885</v>
      </c>
      <c r="C245" s="4" t="s">
        <v>27</v>
      </c>
      <c r="D245" s="12">
        <v>314</v>
      </c>
      <c r="E245" s="12">
        <v>221</v>
      </c>
      <c r="F245" s="24">
        <v>7.54</v>
      </c>
      <c r="G245" s="13">
        <f t="shared" si="3"/>
        <v>2367.56</v>
      </c>
      <c r="H245" s="14">
        <v>0.8</v>
      </c>
      <c r="I245" s="13">
        <v>1773</v>
      </c>
    </row>
    <row r="246" spans="1:9" x14ac:dyDescent="0.25">
      <c r="A246" s="4" t="s">
        <v>479</v>
      </c>
      <c r="B246" s="4" t="s">
        <v>904</v>
      </c>
      <c r="C246" s="4" t="s">
        <v>240</v>
      </c>
      <c r="D246" s="12">
        <v>1214</v>
      </c>
      <c r="E246" s="12">
        <v>820</v>
      </c>
      <c r="F246" s="24">
        <v>64.67</v>
      </c>
      <c r="G246" s="13">
        <f t="shared" si="3"/>
        <v>78509.38</v>
      </c>
      <c r="H246" s="14">
        <v>0.76</v>
      </c>
      <c r="I246" s="13">
        <v>50653</v>
      </c>
    </row>
    <row r="247" spans="1:9" x14ac:dyDescent="0.25">
      <c r="A247" s="4" t="s">
        <v>480</v>
      </c>
      <c r="B247" s="4" t="s">
        <v>889</v>
      </c>
      <c r="C247" s="4" t="s">
        <v>27</v>
      </c>
      <c r="D247" s="12">
        <v>1752</v>
      </c>
      <c r="E247" s="12">
        <v>840</v>
      </c>
      <c r="F247" s="24">
        <v>10.31</v>
      </c>
      <c r="G247" s="13">
        <f t="shared" si="3"/>
        <v>18063.120000000003</v>
      </c>
      <c r="H247" s="14">
        <v>0.56999999999999995</v>
      </c>
      <c r="I247" s="13">
        <v>9337</v>
      </c>
    </row>
    <row r="248" spans="1:9" x14ac:dyDescent="0.25">
      <c r="A248" s="4" t="s">
        <v>481</v>
      </c>
      <c r="B248" s="4" t="s">
        <v>927</v>
      </c>
      <c r="C248" s="4" t="s">
        <v>32</v>
      </c>
      <c r="D248" s="12">
        <v>1922</v>
      </c>
      <c r="E248" s="12">
        <v>1061</v>
      </c>
      <c r="F248" s="24">
        <v>19.690000000000001</v>
      </c>
      <c r="G248" s="13">
        <f t="shared" si="3"/>
        <v>37844.18</v>
      </c>
      <c r="H248" s="14">
        <v>0.61</v>
      </c>
      <c r="I248" s="13">
        <v>22517</v>
      </c>
    </row>
    <row r="249" spans="1:9" x14ac:dyDescent="0.25">
      <c r="A249" s="4" t="s">
        <v>482</v>
      </c>
      <c r="B249" s="4" t="s">
        <v>909</v>
      </c>
      <c r="C249" s="4" t="s">
        <v>32</v>
      </c>
      <c r="D249" s="12">
        <v>2371</v>
      </c>
      <c r="E249" s="12">
        <v>1832</v>
      </c>
      <c r="F249" s="24">
        <v>21.42</v>
      </c>
      <c r="G249" s="13">
        <f t="shared" si="3"/>
        <v>50786.820000000007</v>
      </c>
      <c r="H249" s="14">
        <v>0.86</v>
      </c>
      <c r="I249" s="13">
        <v>44022</v>
      </c>
    </row>
    <row r="250" spans="1:9" x14ac:dyDescent="0.25">
      <c r="A250" s="4" t="s">
        <v>483</v>
      </c>
      <c r="B250" s="4" t="s">
        <v>916</v>
      </c>
      <c r="C250" s="4" t="s">
        <v>237</v>
      </c>
      <c r="D250" s="12">
        <v>38</v>
      </c>
      <c r="E250" s="12">
        <v>24</v>
      </c>
      <c r="F250" s="24">
        <v>1408.9</v>
      </c>
      <c r="G250" s="13">
        <f t="shared" si="3"/>
        <v>53538.200000000004</v>
      </c>
      <c r="H250" s="14">
        <v>0.82</v>
      </c>
      <c r="I250" s="13">
        <v>38017</v>
      </c>
    </row>
    <row r="251" spans="1:9" x14ac:dyDescent="0.25">
      <c r="A251" s="4" t="s">
        <v>484</v>
      </c>
      <c r="B251" s="4" t="s">
        <v>910</v>
      </c>
      <c r="C251" s="4" t="s">
        <v>27</v>
      </c>
      <c r="D251" s="12">
        <v>1668</v>
      </c>
      <c r="E251" s="12">
        <v>1332</v>
      </c>
      <c r="F251" s="24">
        <v>11.62</v>
      </c>
      <c r="G251" s="13">
        <f t="shared" si="3"/>
        <v>19382.16</v>
      </c>
      <c r="H251" s="14">
        <v>0.98</v>
      </c>
      <c r="I251" s="13">
        <v>14667</v>
      </c>
    </row>
    <row r="252" spans="1:9" x14ac:dyDescent="0.25">
      <c r="A252" s="4" t="s">
        <v>485</v>
      </c>
      <c r="B252" s="4" t="s">
        <v>913</v>
      </c>
      <c r="C252" s="4" t="s">
        <v>237</v>
      </c>
      <c r="D252" s="12">
        <v>1</v>
      </c>
      <c r="E252" s="12">
        <v>1</v>
      </c>
      <c r="F252" s="24">
        <v>66534.69</v>
      </c>
      <c r="G252" s="13">
        <f t="shared" si="3"/>
        <v>66534.69</v>
      </c>
      <c r="H252" s="14">
        <v>1</v>
      </c>
      <c r="I252" s="13">
        <v>73624</v>
      </c>
    </row>
    <row r="253" spans="1:9" x14ac:dyDescent="0.25">
      <c r="A253" s="4" t="s">
        <v>486</v>
      </c>
      <c r="B253" s="4" t="s">
        <v>927</v>
      </c>
      <c r="C253" s="4" t="s">
        <v>32</v>
      </c>
      <c r="D253" s="12">
        <v>972</v>
      </c>
      <c r="E253" s="12">
        <v>495</v>
      </c>
      <c r="F253" s="24">
        <v>27.02</v>
      </c>
      <c r="G253" s="13">
        <f t="shared" si="3"/>
        <v>26263.439999999999</v>
      </c>
      <c r="H253" s="14">
        <v>0.59</v>
      </c>
      <c r="I253" s="13">
        <v>12907</v>
      </c>
    </row>
    <row r="254" spans="1:9" x14ac:dyDescent="0.25">
      <c r="A254" s="4" t="s">
        <v>487</v>
      </c>
      <c r="B254" s="4" t="s">
        <v>886</v>
      </c>
      <c r="C254" s="4" t="s">
        <v>32</v>
      </c>
      <c r="D254" s="12">
        <v>489</v>
      </c>
      <c r="E254" s="12">
        <v>227</v>
      </c>
      <c r="F254" s="24">
        <v>4.43</v>
      </c>
      <c r="G254" s="13">
        <f t="shared" si="3"/>
        <v>2166.27</v>
      </c>
      <c r="H254" s="14">
        <v>0.61</v>
      </c>
      <c r="I254" s="13">
        <v>1071</v>
      </c>
    </row>
    <row r="255" spans="1:9" x14ac:dyDescent="0.25">
      <c r="A255" s="4" t="s">
        <v>488</v>
      </c>
      <c r="B255" s="4" t="s">
        <v>909</v>
      </c>
      <c r="C255" s="4" t="s">
        <v>32</v>
      </c>
      <c r="D255" s="12">
        <v>1721</v>
      </c>
      <c r="E255" s="12">
        <v>1288</v>
      </c>
      <c r="F255" s="24">
        <v>27.65</v>
      </c>
      <c r="G255" s="13">
        <f t="shared" si="3"/>
        <v>47585.649999999994</v>
      </c>
      <c r="H255" s="14">
        <v>0.84</v>
      </c>
      <c r="I255" s="13">
        <v>36703</v>
      </c>
    </row>
    <row r="256" spans="1:9" x14ac:dyDescent="0.25">
      <c r="A256" s="4" t="s">
        <v>489</v>
      </c>
      <c r="B256" s="4" t="s">
        <v>918</v>
      </c>
      <c r="C256" s="4" t="s">
        <v>237</v>
      </c>
      <c r="D256" s="12">
        <v>2</v>
      </c>
      <c r="E256" s="12">
        <v>1</v>
      </c>
      <c r="F256" s="24">
        <v>94723.14</v>
      </c>
      <c r="G256" s="13">
        <f t="shared" si="3"/>
        <v>189446.28</v>
      </c>
      <c r="H256" s="14">
        <v>0.65</v>
      </c>
      <c r="I256" s="13">
        <v>104621</v>
      </c>
    </row>
    <row r="257" spans="1:9" x14ac:dyDescent="0.25">
      <c r="A257" s="4" t="s">
        <v>490</v>
      </c>
      <c r="B257" s="4" t="s">
        <v>884</v>
      </c>
      <c r="C257" s="4" t="s">
        <v>240</v>
      </c>
      <c r="D257" s="12">
        <v>1138</v>
      </c>
      <c r="E257" s="12">
        <v>870</v>
      </c>
      <c r="F257" s="24">
        <v>66</v>
      </c>
      <c r="G257" s="13">
        <f t="shared" si="3"/>
        <v>75108</v>
      </c>
      <c r="H257" s="14">
        <v>0.84</v>
      </c>
      <c r="I257" s="13">
        <v>58063</v>
      </c>
    </row>
    <row r="258" spans="1:9" x14ac:dyDescent="0.25">
      <c r="A258" s="4" t="s">
        <v>491</v>
      </c>
      <c r="B258" s="4" t="s">
        <v>897</v>
      </c>
      <c r="C258" s="4" t="s">
        <v>237</v>
      </c>
      <c r="D258" s="12">
        <v>2</v>
      </c>
      <c r="E258" s="12">
        <v>2</v>
      </c>
      <c r="F258" s="24">
        <v>130268.26</v>
      </c>
      <c r="G258" s="13">
        <f t="shared" si="3"/>
        <v>260536.52</v>
      </c>
      <c r="H258" s="14">
        <v>1</v>
      </c>
      <c r="I258" s="13">
        <v>246226</v>
      </c>
    </row>
    <row r="259" spans="1:9" x14ac:dyDescent="0.25">
      <c r="A259" s="4" t="s">
        <v>492</v>
      </c>
      <c r="B259" s="4" t="s">
        <v>907</v>
      </c>
      <c r="C259" s="4" t="s">
        <v>32</v>
      </c>
      <c r="D259" s="12">
        <v>2086</v>
      </c>
      <c r="E259" s="12">
        <v>1269</v>
      </c>
      <c r="F259" s="24">
        <v>3.2</v>
      </c>
      <c r="G259" s="13">
        <f t="shared" si="3"/>
        <v>6675.2000000000007</v>
      </c>
      <c r="H259" s="14">
        <v>0.75</v>
      </c>
      <c r="I259" s="13">
        <v>3962</v>
      </c>
    </row>
    <row r="260" spans="1:9" x14ac:dyDescent="0.25">
      <c r="A260" s="4" t="s">
        <v>493</v>
      </c>
      <c r="B260" s="4" t="s">
        <v>920</v>
      </c>
      <c r="C260" s="4" t="s">
        <v>45</v>
      </c>
      <c r="D260" s="12">
        <v>22710</v>
      </c>
      <c r="E260" s="12">
        <v>12076</v>
      </c>
      <c r="F260" s="24">
        <v>1.41</v>
      </c>
      <c r="G260" s="13">
        <f t="shared" si="3"/>
        <v>32021.1</v>
      </c>
      <c r="H260" s="14">
        <v>0.59</v>
      </c>
      <c r="I260" s="13">
        <v>16772</v>
      </c>
    </row>
    <row r="261" spans="1:9" x14ac:dyDescent="0.25">
      <c r="A261" s="4" t="s">
        <v>494</v>
      </c>
      <c r="B261" s="4" t="s">
        <v>897</v>
      </c>
      <c r="C261" s="4" t="s">
        <v>237</v>
      </c>
      <c r="D261" s="12">
        <v>2</v>
      </c>
      <c r="E261" s="12">
        <v>2</v>
      </c>
      <c r="F261" s="24">
        <v>99747.95</v>
      </c>
      <c r="G261" s="13">
        <f t="shared" ref="G261:G324" si="4">D261*F261</f>
        <v>199495.9</v>
      </c>
      <c r="H261" s="14">
        <v>1</v>
      </c>
      <c r="I261" s="13">
        <v>193496</v>
      </c>
    </row>
    <row r="262" spans="1:9" x14ac:dyDescent="0.25">
      <c r="A262" s="4" t="s">
        <v>495</v>
      </c>
      <c r="B262" s="4" t="s">
        <v>888</v>
      </c>
      <c r="C262" s="4" t="s">
        <v>27</v>
      </c>
      <c r="D262" s="12">
        <v>1188</v>
      </c>
      <c r="E262" s="12">
        <v>927</v>
      </c>
      <c r="F262" s="24">
        <v>7.61</v>
      </c>
      <c r="G262" s="13">
        <f t="shared" si="4"/>
        <v>9040.68</v>
      </c>
      <c r="H262" s="14">
        <v>0.93</v>
      </c>
      <c r="I262" s="13">
        <v>7379</v>
      </c>
    </row>
    <row r="263" spans="1:9" x14ac:dyDescent="0.25">
      <c r="A263" s="4" t="s">
        <v>496</v>
      </c>
      <c r="B263" s="4" t="s">
        <v>883</v>
      </c>
      <c r="C263" s="4" t="s">
        <v>240</v>
      </c>
      <c r="D263" s="12">
        <v>2984</v>
      </c>
      <c r="E263" s="12">
        <v>1397</v>
      </c>
      <c r="F263" s="24">
        <v>72.56</v>
      </c>
      <c r="G263" s="13">
        <f t="shared" si="4"/>
        <v>216519.04000000001</v>
      </c>
      <c r="H263" s="14">
        <v>0.51</v>
      </c>
      <c r="I263" s="13">
        <v>108631</v>
      </c>
    </row>
    <row r="264" spans="1:9" x14ac:dyDescent="0.25">
      <c r="A264" s="4" t="s">
        <v>497</v>
      </c>
      <c r="B264" s="4" t="s">
        <v>917</v>
      </c>
      <c r="C264" s="4" t="s">
        <v>237</v>
      </c>
      <c r="D264" s="12">
        <v>91</v>
      </c>
      <c r="E264" s="12">
        <v>48</v>
      </c>
      <c r="F264" s="24">
        <v>908.56</v>
      </c>
      <c r="G264" s="13">
        <f t="shared" si="4"/>
        <v>82678.959999999992</v>
      </c>
      <c r="H264" s="14">
        <v>0.6</v>
      </c>
      <c r="I264" s="13">
        <v>49390</v>
      </c>
    </row>
    <row r="265" spans="1:9" x14ac:dyDescent="0.25">
      <c r="A265" s="4" t="s">
        <v>498</v>
      </c>
      <c r="B265" s="4" t="s">
        <v>899</v>
      </c>
      <c r="C265" s="4" t="s">
        <v>237</v>
      </c>
      <c r="D265" s="12">
        <v>2</v>
      </c>
      <c r="E265" s="12">
        <v>1</v>
      </c>
      <c r="F265" s="24">
        <v>139000.59</v>
      </c>
      <c r="G265" s="13">
        <f t="shared" si="4"/>
        <v>278001.18</v>
      </c>
      <c r="H265" s="14">
        <v>0.6</v>
      </c>
      <c r="I265" s="13">
        <v>148497</v>
      </c>
    </row>
    <row r="266" spans="1:9" x14ac:dyDescent="0.25">
      <c r="A266" s="4" t="s">
        <v>499</v>
      </c>
      <c r="B266" s="4" t="s">
        <v>893</v>
      </c>
      <c r="C266" s="4" t="s">
        <v>32</v>
      </c>
      <c r="D266" s="12">
        <v>1471</v>
      </c>
      <c r="E266" s="12">
        <v>688</v>
      </c>
      <c r="F266" s="24">
        <v>5.62</v>
      </c>
      <c r="G266" s="13">
        <f t="shared" si="4"/>
        <v>8267.02</v>
      </c>
      <c r="H266" s="14">
        <v>0.56000000000000005</v>
      </c>
      <c r="I266" s="13">
        <v>4330</v>
      </c>
    </row>
    <row r="267" spans="1:9" x14ac:dyDescent="0.25">
      <c r="A267" s="4" t="s">
        <v>500</v>
      </c>
      <c r="B267" s="4" t="s">
        <v>918</v>
      </c>
      <c r="C267" s="4" t="s">
        <v>237</v>
      </c>
      <c r="D267" s="12">
        <v>2</v>
      </c>
      <c r="E267" s="12">
        <v>1</v>
      </c>
      <c r="F267" s="24">
        <v>105332.43</v>
      </c>
      <c r="G267" s="13">
        <f t="shared" si="4"/>
        <v>210664.86</v>
      </c>
      <c r="H267" s="14">
        <v>0.56999999999999995</v>
      </c>
      <c r="I267" s="13">
        <v>109148</v>
      </c>
    </row>
    <row r="268" spans="1:9" x14ac:dyDescent="0.25">
      <c r="A268" s="4" t="s">
        <v>501</v>
      </c>
      <c r="B268" s="4" t="s">
        <v>883</v>
      </c>
      <c r="C268" s="4" t="s">
        <v>240</v>
      </c>
      <c r="D268" s="12">
        <v>1602</v>
      </c>
      <c r="E268" s="12">
        <v>1326</v>
      </c>
      <c r="F268" s="24">
        <v>45.41</v>
      </c>
      <c r="G268" s="13">
        <f t="shared" si="4"/>
        <v>72746.819999999992</v>
      </c>
      <c r="H268" s="14">
        <v>0.96</v>
      </c>
      <c r="I268" s="13">
        <v>67518</v>
      </c>
    </row>
    <row r="269" spans="1:9" x14ac:dyDescent="0.25">
      <c r="A269" s="4" t="s">
        <v>502</v>
      </c>
      <c r="B269" s="4" t="s">
        <v>904</v>
      </c>
      <c r="C269" s="4" t="s">
        <v>240</v>
      </c>
      <c r="D269" s="12">
        <v>2210</v>
      </c>
      <c r="E269" s="12">
        <v>1707</v>
      </c>
      <c r="F269" s="24">
        <v>69.38</v>
      </c>
      <c r="G269" s="13">
        <f t="shared" si="4"/>
        <v>153329.79999999999</v>
      </c>
      <c r="H269" s="14">
        <v>0.85</v>
      </c>
      <c r="I269" s="13">
        <v>130517</v>
      </c>
    </row>
    <row r="270" spans="1:9" x14ac:dyDescent="0.25">
      <c r="A270" s="4" t="s">
        <v>503</v>
      </c>
      <c r="B270" s="4" t="s">
        <v>913</v>
      </c>
      <c r="C270" s="4" t="s">
        <v>237</v>
      </c>
      <c r="D270" s="12">
        <v>2</v>
      </c>
      <c r="E270" s="12">
        <v>1</v>
      </c>
      <c r="F270" s="24">
        <v>60437.04</v>
      </c>
      <c r="G270" s="13">
        <f t="shared" si="4"/>
        <v>120874.08</v>
      </c>
      <c r="H270" s="14">
        <v>0.65</v>
      </c>
      <c r="I270" s="13">
        <v>59084</v>
      </c>
    </row>
    <row r="271" spans="1:9" x14ac:dyDescent="0.25">
      <c r="A271" s="4" t="s">
        <v>504</v>
      </c>
      <c r="B271" s="4" t="s">
        <v>915</v>
      </c>
      <c r="C271" s="4" t="s">
        <v>45</v>
      </c>
      <c r="D271" s="12">
        <v>10088</v>
      </c>
      <c r="E271" s="12">
        <v>6124</v>
      </c>
      <c r="F271" s="24">
        <v>1.1499999999999999</v>
      </c>
      <c r="G271" s="13">
        <f t="shared" si="4"/>
        <v>11601.199999999999</v>
      </c>
      <c r="H271" s="14">
        <v>0.65</v>
      </c>
      <c r="I271" s="13">
        <v>7353</v>
      </c>
    </row>
    <row r="272" spans="1:9" x14ac:dyDescent="0.25">
      <c r="B272" s="16" t="s">
        <v>879</v>
      </c>
      <c r="G272" s="8">
        <f>SUM(G5:G271)</f>
        <v>19431958.800000001</v>
      </c>
      <c r="I272" s="8">
        <f>SUM(I5:I271)</f>
        <v>13952191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showGridLines="0" zoomScaleNormal="100" workbookViewId="0"/>
  </sheetViews>
  <sheetFormatPr baseColWidth="10" defaultColWidth="8.7109375" defaultRowHeight="15" x14ac:dyDescent="0.25"/>
  <cols>
    <col min="1" max="1" width="15" customWidth="1"/>
    <col min="2" max="2" width="52" customWidth="1"/>
    <col min="3" max="9" width="15" customWidth="1"/>
  </cols>
  <sheetData>
    <row r="1" spans="1:9" ht="17.25" x14ac:dyDescent="0.3">
      <c r="A1" s="1" t="s">
        <v>929</v>
      </c>
    </row>
    <row r="2" spans="1:9" x14ac:dyDescent="0.25">
      <c r="A2" s="2" t="s">
        <v>810</v>
      </c>
    </row>
    <row r="4" spans="1:9" x14ac:dyDescent="0.25">
      <c r="A4" s="23" t="s">
        <v>811</v>
      </c>
      <c r="B4" s="23" t="s">
        <v>812</v>
      </c>
      <c r="C4" s="23" t="s">
        <v>813</v>
      </c>
      <c r="D4" s="23" t="s">
        <v>814</v>
      </c>
      <c r="E4" s="23" t="s">
        <v>815</v>
      </c>
      <c r="F4" s="23" t="s">
        <v>816</v>
      </c>
      <c r="G4" s="23" t="s">
        <v>817</v>
      </c>
      <c r="H4" s="23" t="s">
        <v>818</v>
      </c>
      <c r="I4" s="23" t="s">
        <v>819</v>
      </c>
    </row>
    <row r="5" spans="1:9" x14ac:dyDescent="0.25">
      <c r="A5" s="4" t="s">
        <v>733</v>
      </c>
      <c r="B5" s="4" t="s">
        <v>930</v>
      </c>
      <c r="C5" s="4" t="s">
        <v>237</v>
      </c>
      <c r="D5" s="12">
        <v>6</v>
      </c>
      <c r="E5" s="12">
        <v>1</v>
      </c>
      <c r="F5" s="24">
        <v>6716.34</v>
      </c>
      <c r="G5" s="13">
        <f t="shared" ref="G5:G36" si="0">D5*F5</f>
        <v>40298.04</v>
      </c>
      <c r="H5" s="14">
        <v>0.34</v>
      </c>
      <c r="I5" s="13">
        <v>6726</v>
      </c>
    </row>
    <row r="6" spans="1:9" x14ac:dyDescent="0.25">
      <c r="A6" s="4" t="s">
        <v>734</v>
      </c>
      <c r="B6" s="4" t="s">
        <v>931</v>
      </c>
      <c r="C6" s="4" t="s">
        <v>237</v>
      </c>
      <c r="D6" s="12">
        <v>4</v>
      </c>
      <c r="E6" s="12">
        <v>1</v>
      </c>
      <c r="F6" s="24">
        <v>23484.59</v>
      </c>
      <c r="G6" s="13">
        <f t="shared" si="0"/>
        <v>93938.36</v>
      </c>
      <c r="H6" s="14">
        <v>0.41</v>
      </c>
      <c r="I6" s="13">
        <v>22682</v>
      </c>
    </row>
    <row r="7" spans="1:9" x14ac:dyDescent="0.25">
      <c r="A7" s="4" t="s">
        <v>735</v>
      </c>
      <c r="B7" s="4" t="s">
        <v>932</v>
      </c>
      <c r="C7" s="4" t="s">
        <v>237</v>
      </c>
      <c r="D7" s="12">
        <v>8</v>
      </c>
      <c r="E7" s="12">
        <v>2</v>
      </c>
      <c r="F7" s="24">
        <v>3127.93</v>
      </c>
      <c r="G7" s="13">
        <f t="shared" si="0"/>
        <v>25023.439999999999</v>
      </c>
      <c r="H7" s="14">
        <v>0.38</v>
      </c>
      <c r="I7" s="13">
        <v>6269</v>
      </c>
    </row>
    <row r="8" spans="1:9" x14ac:dyDescent="0.25">
      <c r="A8" s="4" t="s">
        <v>736</v>
      </c>
      <c r="B8" s="4" t="s">
        <v>933</v>
      </c>
      <c r="C8" s="4" t="s">
        <v>237</v>
      </c>
      <c r="D8" s="12">
        <v>2</v>
      </c>
      <c r="E8" s="12">
        <v>1</v>
      </c>
      <c r="F8" s="24">
        <v>89591.16</v>
      </c>
      <c r="G8" s="13">
        <f t="shared" si="0"/>
        <v>179182.32</v>
      </c>
      <c r="H8" s="14">
        <v>0.63</v>
      </c>
      <c r="I8" s="13">
        <v>91205</v>
      </c>
    </row>
    <row r="9" spans="1:9" x14ac:dyDescent="0.25">
      <c r="A9" s="4" t="s">
        <v>737</v>
      </c>
      <c r="B9" s="4" t="s">
        <v>934</v>
      </c>
      <c r="C9" s="4" t="s">
        <v>237</v>
      </c>
      <c r="D9" s="12">
        <v>2</v>
      </c>
      <c r="E9" s="12">
        <v>0</v>
      </c>
      <c r="F9" s="24">
        <v>121757.28</v>
      </c>
      <c r="G9" s="13">
        <f t="shared" si="0"/>
        <v>243514.56</v>
      </c>
      <c r="H9" s="14">
        <v>0.1</v>
      </c>
      <c r="I9" s="13">
        <v>0</v>
      </c>
    </row>
    <row r="10" spans="1:9" x14ac:dyDescent="0.25">
      <c r="A10" s="4" t="s">
        <v>738</v>
      </c>
      <c r="B10" s="4" t="s">
        <v>930</v>
      </c>
      <c r="C10" s="4" t="s">
        <v>237</v>
      </c>
      <c r="D10" s="12">
        <v>8</v>
      </c>
      <c r="E10" s="12">
        <v>0</v>
      </c>
      <c r="F10" s="24">
        <v>7809.3</v>
      </c>
      <c r="G10" s="13">
        <f t="shared" si="0"/>
        <v>62474.400000000001</v>
      </c>
      <c r="H10" s="14">
        <v>0.16</v>
      </c>
      <c r="I10" s="13">
        <v>0</v>
      </c>
    </row>
    <row r="11" spans="1:9" x14ac:dyDescent="0.25">
      <c r="A11" s="4" t="s">
        <v>739</v>
      </c>
      <c r="B11" s="4" t="s">
        <v>935</v>
      </c>
      <c r="C11" s="4" t="s">
        <v>237</v>
      </c>
      <c r="D11" s="12">
        <v>4</v>
      </c>
      <c r="E11" s="12">
        <v>2</v>
      </c>
      <c r="F11" s="24">
        <v>31755.51</v>
      </c>
      <c r="G11" s="13">
        <f t="shared" si="0"/>
        <v>127022.04</v>
      </c>
      <c r="H11" s="14">
        <v>0.61</v>
      </c>
      <c r="I11" s="13">
        <v>71824</v>
      </c>
    </row>
    <row r="12" spans="1:9" x14ac:dyDescent="0.25">
      <c r="A12" s="4" t="s">
        <v>740</v>
      </c>
      <c r="B12" s="4" t="s">
        <v>935</v>
      </c>
      <c r="C12" s="4" t="s">
        <v>237</v>
      </c>
      <c r="D12" s="12">
        <v>1</v>
      </c>
      <c r="E12" s="12">
        <v>0</v>
      </c>
      <c r="F12" s="24">
        <v>40570.47</v>
      </c>
      <c r="G12" s="13">
        <f t="shared" si="0"/>
        <v>40570.47</v>
      </c>
      <c r="H12" s="14">
        <v>0.15</v>
      </c>
      <c r="I12" s="13">
        <v>0</v>
      </c>
    </row>
    <row r="13" spans="1:9" x14ac:dyDescent="0.25">
      <c r="A13" s="4" t="s">
        <v>741</v>
      </c>
      <c r="B13" s="4" t="s">
        <v>936</v>
      </c>
      <c r="C13" s="4" t="s">
        <v>237</v>
      </c>
      <c r="D13" s="12">
        <v>4</v>
      </c>
      <c r="E13" s="12">
        <v>2</v>
      </c>
      <c r="F13" s="24">
        <v>30702.75</v>
      </c>
      <c r="G13" s="13">
        <f t="shared" si="0"/>
        <v>122811</v>
      </c>
      <c r="H13" s="14">
        <v>0.59</v>
      </c>
      <c r="I13" s="13">
        <v>57942</v>
      </c>
    </row>
    <row r="14" spans="1:9" x14ac:dyDescent="0.25">
      <c r="A14" s="4" t="s">
        <v>742</v>
      </c>
      <c r="B14" s="4" t="s">
        <v>937</v>
      </c>
      <c r="C14" s="4" t="s">
        <v>237</v>
      </c>
      <c r="D14" s="12">
        <v>3</v>
      </c>
      <c r="E14" s="12">
        <v>1</v>
      </c>
      <c r="F14" s="24">
        <v>39278.71</v>
      </c>
      <c r="G14" s="13">
        <f t="shared" si="0"/>
        <v>117836.13</v>
      </c>
      <c r="H14" s="14">
        <v>0.43</v>
      </c>
      <c r="I14" s="13">
        <v>43017</v>
      </c>
    </row>
    <row r="15" spans="1:9" x14ac:dyDescent="0.25">
      <c r="A15" s="4" t="s">
        <v>743</v>
      </c>
      <c r="B15" s="4" t="s">
        <v>938</v>
      </c>
      <c r="C15" s="4" t="s">
        <v>237</v>
      </c>
      <c r="D15" s="12">
        <v>3</v>
      </c>
      <c r="E15" s="12">
        <v>1</v>
      </c>
      <c r="F15" s="24">
        <v>31504.62</v>
      </c>
      <c r="G15" s="13">
        <f t="shared" si="0"/>
        <v>94513.86</v>
      </c>
      <c r="H15" s="14">
        <v>0.45</v>
      </c>
      <c r="I15" s="13">
        <v>33790</v>
      </c>
    </row>
    <row r="16" spans="1:9" x14ac:dyDescent="0.25">
      <c r="A16" s="4" t="s">
        <v>744</v>
      </c>
      <c r="B16" s="4" t="s">
        <v>939</v>
      </c>
      <c r="C16" s="4" t="s">
        <v>237</v>
      </c>
      <c r="D16" s="12">
        <v>1</v>
      </c>
      <c r="E16" s="12">
        <v>0</v>
      </c>
      <c r="F16" s="24">
        <v>83180.679999999993</v>
      </c>
      <c r="G16" s="13">
        <f t="shared" si="0"/>
        <v>83180.679999999993</v>
      </c>
      <c r="H16" s="14">
        <v>0.09</v>
      </c>
      <c r="I16" s="13">
        <v>0</v>
      </c>
    </row>
    <row r="17" spans="1:9" x14ac:dyDescent="0.25">
      <c r="A17" s="4" t="s">
        <v>745</v>
      </c>
      <c r="B17" s="4" t="s">
        <v>940</v>
      </c>
      <c r="C17" s="4" t="s">
        <v>237</v>
      </c>
      <c r="D17" s="12">
        <v>2</v>
      </c>
      <c r="E17" s="12">
        <v>0</v>
      </c>
      <c r="F17" s="24">
        <v>4067.91</v>
      </c>
      <c r="G17" s="13">
        <f t="shared" si="0"/>
        <v>8135.82</v>
      </c>
      <c r="H17" s="14">
        <v>0.18</v>
      </c>
      <c r="I17" s="13">
        <v>0</v>
      </c>
    </row>
    <row r="18" spans="1:9" x14ac:dyDescent="0.25">
      <c r="A18" s="4" t="s">
        <v>746</v>
      </c>
      <c r="B18" s="4" t="s">
        <v>941</v>
      </c>
      <c r="C18" s="4" t="s">
        <v>237</v>
      </c>
      <c r="D18" s="12">
        <v>6</v>
      </c>
      <c r="E18" s="12">
        <v>3</v>
      </c>
      <c r="F18" s="24">
        <v>6122.75</v>
      </c>
      <c r="G18" s="13">
        <f t="shared" si="0"/>
        <v>36736.5</v>
      </c>
      <c r="H18" s="14">
        <v>0.68</v>
      </c>
      <c r="I18" s="13">
        <v>20448</v>
      </c>
    </row>
    <row r="19" spans="1:9" x14ac:dyDescent="0.25">
      <c r="A19" s="4" t="s">
        <v>747</v>
      </c>
      <c r="B19" s="4" t="s">
        <v>942</v>
      </c>
      <c r="C19" s="4" t="s">
        <v>237</v>
      </c>
      <c r="D19" s="12">
        <v>1</v>
      </c>
      <c r="E19" s="12">
        <v>0</v>
      </c>
      <c r="F19" s="24">
        <v>0</v>
      </c>
      <c r="G19" s="13">
        <f t="shared" si="0"/>
        <v>0</v>
      </c>
      <c r="H19" s="14">
        <v>0.08</v>
      </c>
      <c r="I19" s="13">
        <v>0</v>
      </c>
    </row>
    <row r="20" spans="1:9" x14ac:dyDescent="0.25">
      <c r="A20" s="4" t="s">
        <v>748</v>
      </c>
      <c r="B20" s="4" t="s">
        <v>930</v>
      </c>
      <c r="C20" s="4" t="s">
        <v>237</v>
      </c>
      <c r="D20" s="12">
        <v>3</v>
      </c>
      <c r="E20" s="12">
        <v>1</v>
      </c>
      <c r="F20" s="24">
        <v>41143</v>
      </c>
      <c r="G20" s="13">
        <f t="shared" si="0"/>
        <v>123429</v>
      </c>
      <c r="H20" s="14">
        <v>0.43</v>
      </c>
      <c r="I20" s="13">
        <v>7168</v>
      </c>
    </row>
    <row r="21" spans="1:9" x14ac:dyDescent="0.25">
      <c r="A21" s="4" t="s">
        <v>749</v>
      </c>
      <c r="B21" s="4" t="s">
        <v>930</v>
      </c>
      <c r="C21" s="4" t="s">
        <v>237</v>
      </c>
      <c r="D21" s="12">
        <v>8</v>
      </c>
      <c r="E21" s="12">
        <v>3</v>
      </c>
      <c r="F21" s="24">
        <v>5393.3</v>
      </c>
      <c r="G21" s="13">
        <f t="shared" si="0"/>
        <v>43146.400000000001</v>
      </c>
      <c r="H21" s="14">
        <v>0.56999999999999995</v>
      </c>
      <c r="I21" s="13">
        <v>18171</v>
      </c>
    </row>
    <row r="22" spans="1:9" x14ac:dyDescent="0.25">
      <c r="A22" s="4" t="s">
        <v>750</v>
      </c>
      <c r="B22" s="4" t="s">
        <v>939</v>
      </c>
      <c r="C22" s="4" t="s">
        <v>237</v>
      </c>
      <c r="D22" s="12">
        <v>2</v>
      </c>
      <c r="E22" s="12">
        <v>0</v>
      </c>
      <c r="F22" s="24">
        <v>94304.85</v>
      </c>
      <c r="G22" s="13">
        <f t="shared" si="0"/>
        <v>188609.7</v>
      </c>
      <c r="H22" s="14">
        <v>0.08</v>
      </c>
      <c r="I22" s="13">
        <v>0</v>
      </c>
    </row>
    <row r="23" spans="1:9" x14ac:dyDescent="0.25">
      <c r="A23" s="4" t="s">
        <v>751</v>
      </c>
      <c r="B23" s="4" t="s">
        <v>943</v>
      </c>
      <c r="C23" s="4" t="s">
        <v>237</v>
      </c>
      <c r="D23" s="12">
        <v>8</v>
      </c>
      <c r="E23" s="12">
        <v>4</v>
      </c>
      <c r="F23" s="24">
        <v>1178.1300000000001</v>
      </c>
      <c r="G23" s="13">
        <f t="shared" si="0"/>
        <v>9425.0400000000009</v>
      </c>
      <c r="H23" s="14">
        <v>0.62</v>
      </c>
      <c r="I23" s="13">
        <v>4490</v>
      </c>
    </row>
    <row r="24" spans="1:9" x14ac:dyDescent="0.25">
      <c r="A24" s="4" t="s">
        <v>752</v>
      </c>
      <c r="B24" s="4" t="s">
        <v>944</v>
      </c>
      <c r="C24" s="4" t="s">
        <v>237</v>
      </c>
      <c r="D24" s="12">
        <v>1</v>
      </c>
      <c r="E24" s="12">
        <v>0</v>
      </c>
      <c r="F24" s="24">
        <v>84249.96</v>
      </c>
      <c r="G24" s="13">
        <f t="shared" si="0"/>
        <v>84249.96</v>
      </c>
      <c r="H24" s="14">
        <v>0.16</v>
      </c>
      <c r="I24" s="13">
        <v>0</v>
      </c>
    </row>
    <row r="25" spans="1:9" x14ac:dyDescent="0.25">
      <c r="A25" s="4" t="s">
        <v>753</v>
      </c>
      <c r="B25" s="4" t="s">
        <v>945</v>
      </c>
      <c r="C25" s="4" t="s">
        <v>237</v>
      </c>
      <c r="D25" s="12">
        <v>2</v>
      </c>
      <c r="E25" s="12">
        <v>0</v>
      </c>
      <c r="F25" s="24">
        <v>42487.08</v>
      </c>
      <c r="G25" s="13">
        <f t="shared" si="0"/>
        <v>84974.16</v>
      </c>
      <c r="H25" s="14">
        <v>0.18</v>
      </c>
      <c r="I25" s="13">
        <v>0</v>
      </c>
    </row>
    <row r="26" spans="1:9" x14ac:dyDescent="0.25">
      <c r="A26" s="4" t="s">
        <v>754</v>
      </c>
      <c r="B26" s="4" t="s">
        <v>932</v>
      </c>
      <c r="C26" s="4" t="s">
        <v>237</v>
      </c>
      <c r="D26" s="12">
        <v>6</v>
      </c>
      <c r="E26" s="12">
        <v>1</v>
      </c>
      <c r="F26" s="24">
        <v>7645.12</v>
      </c>
      <c r="G26" s="13">
        <f t="shared" si="0"/>
        <v>45870.720000000001</v>
      </c>
      <c r="H26" s="14">
        <v>0.23</v>
      </c>
      <c r="I26" s="13">
        <v>7686</v>
      </c>
    </row>
    <row r="27" spans="1:9" x14ac:dyDescent="0.25">
      <c r="A27" s="4" t="s">
        <v>755</v>
      </c>
      <c r="B27" s="4" t="s">
        <v>933</v>
      </c>
      <c r="C27" s="4" t="s">
        <v>237</v>
      </c>
      <c r="D27" s="12">
        <v>2</v>
      </c>
      <c r="E27" s="12">
        <v>0</v>
      </c>
      <c r="F27" s="24">
        <v>131200.85999999999</v>
      </c>
      <c r="G27" s="13">
        <f t="shared" si="0"/>
        <v>262401.71999999997</v>
      </c>
      <c r="H27" s="14">
        <v>0.16</v>
      </c>
      <c r="I27" s="13">
        <v>0</v>
      </c>
    </row>
    <row r="28" spans="1:9" x14ac:dyDescent="0.25">
      <c r="A28" s="4" t="s">
        <v>756</v>
      </c>
      <c r="B28" s="4" t="s">
        <v>946</v>
      </c>
      <c r="C28" s="4" t="s">
        <v>237</v>
      </c>
      <c r="D28" s="12">
        <v>4</v>
      </c>
      <c r="E28" s="12">
        <v>1</v>
      </c>
      <c r="F28" s="24">
        <v>4194.91</v>
      </c>
      <c r="G28" s="13">
        <f t="shared" si="0"/>
        <v>16779.64</v>
      </c>
      <c r="H28" s="14">
        <v>0.28999999999999998</v>
      </c>
      <c r="I28" s="13">
        <v>4393</v>
      </c>
    </row>
    <row r="29" spans="1:9" x14ac:dyDescent="0.25">
      <c r="A29" s="4" t="s">
        <v>757</v>
      </c>
      <c r="B29" s="4" t="s">
        <v>937</v>
      </c>
      <c r="C29" s="4" t="s">
        <v>237</v>
      </c>
      <c r="D29" s="12">
        <v>3</v>
      </c>
      <c r="E29" s="12">
        <v>1</v>
      </c>
      <c r="F29" s="24">
        <v>32284.240000000002</v>
      </c>
      <c r="G29" s="13">
        <f t="shared" si="0"/>
        <v>96852.72</v>
      </c>
      <c r="H29" s="14">
        <v>0.53</v>
      </c>
      <c r="I29" s="13">
        <v>34385</v>
      </c>
    </row>
    <row r="30" spans="1:9" x14ac:dyDescent="0.25">
      <c r="A30" s="4" t="s">
        <v>758</v>
      </c>
      <c r="B30" s="4" t="s">
        <v>947</v>
      </c>
      <c r="C30" s="4" t="s">
        <v>237</v>
      </c>
      <c r="D30" s="12">
        <v>2</v>
      </c>
      <c r="E30" s="12">
        <v>0</v>
      </c>
      <c r="F30" s="24">
        <v>2381.89</v>
      </c>
      <c r="G30" s="13">
        <f t="shared" si="0"/>
        <v>4763.78</v>
      </c>
      <c r="H30" s="14">
        <v>0.16</v>
      </c>
      <c r="I30" s="13">
        <v>0</v>
      </c>
    </row>
    <row r="31" spans="1:9" x14ac:dyDescent="0.25">
      <c r="A31" s="4" t="s">
        <v>759</v>
      </c>
      <c r="B31" s="4" t="s">
        <v>948</v>
      </c>
      <c r="C31" s="4" t="s">
        <v>237</v>
      </c>
      <c r="D31" s="12">
        <v>4</v>
      </c>
      <c r="E31" s="12">
        <v>0</v>
      </c>
      <c r="F31" s="24">
        <v>1819.13</v>
      </c>
      <c r="G31" s="13">
        <f t="shared" si="0"/>
        <v>7276.52</v>
      </c>
      <c r="H31" s="14">
        <v>0.13</v>
      </c>
      <c r="I31" s="13">
        <v>0</v>
      </c>
    </row>
    <row r="32" spans="1:9" x14ac:dyDescent="0.25">
      <c r="A32" s="4" t="s">
        <v>760</v>
      </c>
      <c r="B32" s="4" t="s">
        <v>939</v>
      </c>
      <c r="C32" s="4" t="s">
        <v>237</v>
      </c>
      <c r="D32" s="12">
        <v>1</v>
      </c>
      <c r="E32" s="12">
        <v>1</v>
      </c>
      <c r="F32" s="24">
        <v>84509.87</v>
      </c>
      <c r="G32" s="13">
        <f t="shared" si="0"/>
        <v>84509.87</v>
      </c>
      <c r="H32" s="14">
        <v>1</v>
      </c>
      <c r="I32" s="13">
        <v>80101</v>
      </c>
    </row>
    <row r="33" spans="1:9" x14ac:dyDescent="0.25">
      <c r="A33" s="4" t="s">
        <v>761</v>
      </c>
      <c r="B33" s="4" t="s">
        <v>949</v>
      </c>
      <c r="C33" s="4" t="s">
        <v>237</v>
      </c>
      <c r="D33" s="12">
        <v>6</v>
      </c>
      <c r="E33" s="12">
        <v>3</v>
      </c>
      <c r="F33" s="24">
        <v>2677.59</v>
      </c>
      <c r="G33" s="13">
        <f t="shared" si="0"/>
        <v>16065.54</v>
      </c>
      <c r="H33" s="14">
        <v>0.59</v>
      </c>
      <c r="I33" s="13">
        <v>8295</v>
      </c>
    </row>
    <row r="34" spans="1:9" x14ac:dyDescent="0.25">
      <c r="A34" s="4" t="s">
        <v>762</v>
      </c>
      <c r="B34" s="4" t="s">
        <v>950</v>
      </c>
      <c r="C34" s="4" t="s">
        <v>237</v>
      </c>
      <c r="D34" s="12">
        <v>2</v>
      </c>
      <c r="E34" s="12">
        <v>1</v>
      </c>
      <c r="F34" s="24">
        <v>25515.23</v>
      </c>
      <c r="G34" s="13">
        <f t="shared" si="0"/>
        <v>51030.46</v>
      </c>
      <c r="H34" s="14">
        <v>0.61</v>
      </c>
      <c r="I34" s="13">
        <v>25128</v>
      </c>
    </row>
    <row r="35" spans="1:9" x14ac:dyDescent="0.25">
      <c r="A35" s="4" t="s">
        <v>763</v>
      </c>
      <c r="B35" s="4" t="s">
        <v>951</v>
      </c>
      <c r="C35" s="4" t="s">
        <v>237</v>
      </c>
      <c r="D35" s="12">
        <v>9</v>
      </c>
      <c r="E35" s="12">
        <v>4</v>
      </c>
      <c r="F35" s="24">
        <v>3245.84</v>
      </c>
      <c r="G35" s="13">
        <f t="shared" si="0"/>
        <v>29212.560000000001</v>
      </c>
      <c r="H35" s="14">
        <v>0.63</v>
      </c>
      <c r="I35" s="13">
        <v>14721</v>
      </c>
    </row>
    <row r="36" spans="1:9" x14ac:dyDescent="0.25">
      <c r="A36" s="4" t="s">
        <v>764</v>
      </c>
      <c r="B36" s="4" t="s">
        <v>948</v>
      </c>
      <c r="C36" s="4" t="s">
        <v>237</v>
      </c>
      <c r="D36" s="12">
        <v>8</v>
      </c>
      <c r="E36" s="12">
        <v>0</v>
      </c>
      <c r="F36" s="24">
        <v>1231.6300000000001</v>
      </c>
      <c r="G36" s="13">
        <f t="shared" si="0"/>
        <v>9853.0400000000009</v>
      </c>
      <c r="H36" s="14">
        <v>7.0000000000000007E-2</v>
      </c>
      <c r="I36" s="13">
        <v>0</v>
      </c>
    </row>
    <row r="37" spans="1:9" x14ac:dyDescent="0.25">
      <c r="A37" s="4" t="s">
        <v>765</v>
      </c>
      <c r="B37" s="4" t="s">
        <v>933</v>
      </c>
      <c r="C37" s="4" t="s">
        <v>237</v>
      </c>
      <c r="D37" s="12">
        <v>2</v>
      </c>
      <c r="E37" s="12">
        <v>0</v>
      </c>
      <c r="F37" s="24">
        <v>111017.78</v>
      </c>
      <c r="G37" s="13">
        <f t="shared" ref="G37:G68" si="1">D37*F37</f>
        <v>222035.56</v>
      </c>
      <c r="H37" s="14">
        <v>0.18</v>
      </c>
      <c r="I37" s="13">
        <v>0</v>
      </c>
    </row>
    <row r="38" spans="1:9" x14ac:dyDescent="0.25">
      <c r="A38" s="4" t="s">
        <v>766</v>
      </c>
      <c r="B38" s="4" t="s">
        <v>952</v>
      </c>
      <c r="C38" s="4" t="s">
        <v>237</v>
      </c>
      <c r="D38" s="12">
        <v>3</v>
      </c>
      <c r="E38" s="12">
        <v>0</v>
      </c>
      <c r="F38" s="24">
        <v>4126.3500000000004</v>
      </c>
      <c r="G38" s="13">
        <f t="shared" si="1"/>
        <v>12379.050000000001</v>
      </c>
      <c r="H38" s="14">
        <v>0.18</v>
      </c>
      <c r="I38" s="13">
        <v>0</v>
      </c>
    </row>
    <row r="39" spans="1:9" x14ac:dyDescent="0.25">
      <c r="A39" s="4" t="s">
        <v>767</v>
      </c>
      <c r="B39" s="4" t="s">
        <v>931</v>
      </c>
      <c r="C39" s="4" t="s">
        <v>237</v>
      </c>
      <c r="D39" s="12">
        <v>3</v>
      </c>
      <c r="E39" s="12">
        <v>2</v>
      </c>
      <c r="F39" s="24">
        <v>28531.09</v>
      </c>
      <c r="G39" s="13">
        <f t="shared" si="1"/>
        <v>85593.27</v>
      </c>
      <c r="H39" s="14">
        <v>0.78</v>
      </c>
      <c r="I39" s="13">
        <v>55416</v>
      </c>
    </row>
    <row r="40" spans="1:9" x14ac:dyDescent="0.25">
      <c r="A40" s="4" t="s">
        <v>768</v>
      </c>
      <c r="B40" s="4" t="s">
        <v>939</v>
      </c>
      <c r="C40" s="4" t="s">
        <v>237</v>
      </c>
      <c r="D40" s="12">
        <v>1</v>
      </c>
      <c r="E40" s="12">
        <v>0</v>
      </c>
      <c r="F40" s="24">
        <v>140065.76</v>
      </c>
      <c r="G40" s="13">
        <f t="shared" si="1"/>
        <v>140065.76</v>
      </c>
      <c r="H40" s="14">
        <v>0.19</v>
      </c>
      <c r="I40" s="13">
        <v>0</v>
      </c>
    </row>
    <row r="41" spans="1:9" x14ac:dyDescent="0.25">
      <c r="A41" s="4" t="s">
        <v>769</v>
      </c>
      <c r="B41" s="4" t="s">
        <v>935</v>
      </c>
      <c r="C41" s="4" t="s">
        <v>237</v>
      </c>
      <c r="D41" s="12">
        <v>4</v>
      </c>
      <c r="E41" s="12">
        <v>2</v>
      </c>
      <c r="F41" s="24">
        <v>39628.28</v>
      </c>
      <c r="G41" s="13">
        <f t="shared" si="1"/>
        <v>158513.12</v>
      </c>
      <c r="H41" s="14">
        <v>0.69</v>
      </c>
      <c r="I41" s="13">
        <v>87140</v>
      </c>
    </row>
    <row r="42" spans="1:9" x14ac:dyDescent="0.25">
      <c r="A42" s="4" t="s">
        <v>770</v>
      </c>
      <c r="B42" s="4" t="s">
        <v>953</v>
      </c>
      <c r="C42" s="4" t="s">
        <v>237</v>
      </c>
      <c r="D42" s="12">
        <v>3</v>
      </c>
      <c r="E42" s="12">
        <v>1</v>
      </c>
      <c r="F42" s="24">
        <v>24197.59</v>
      </c>
      <c r="G42" s="13">
        <f t="shared" si="1"/>
        <v>72592.77</v>
      </c>
      <c r="H42" s="14">
        <v>0.46</v>
      </c>
      <c r="I42" s="13">
        <v>27399</v>
      </c>
    </row>
    <row r="43" spans="1:9" x14ac:dyDescent="0.25">
      <c r="A43" s="4" t="s">
        <v>771</v>
      </c>
      <c r="B43" s="4" t="s">
        <v>946</v>
      </c>
      <c r="C43" s="4" t="s">
        <v>237</v>
      </c>
      <c r="D43" s="12">
        <v>3</v>
      </c>
      <c r="E43" s="12">
        <v>1</v>
      </c>
      <c r="F43" s="24">
        <v>6922.86</v>
      </c>
      <c r="G43" s="13">
        <f t="shared" si="1"/>
        <v>20768.579999999998</v>
      </c>
      <c r="H43" s="14">
        <v>0.51</v>
      </c>
      <c r="I43" s="13">
        <v>6945</v>
      </c>
    </row>
    <row r="44" spans="1:9" x14ac:dyDescent="0.25">
      <c r="A44" s="4" t="s">
        <v>772</v>
      </c>
      <c r="B44" s="4" t="s">
        <v>946</v>
      </c>
      <c r="C44" s="4" t="s">
        <v>237</v>
      </c>
      <c r="D44" s="12">
        <v>7</v>
      </c>
      <c r="E44" s="12">
        <v>1</v>
      </c>
      <c r="F44" s="24">
        <v>4888.1000000000004</v>
      </c>
      <c r="G44" s="13">
        <f t="shared" si="1"/>
        <v>34216.700000000004</v>
      </c>
      <c r="H44" s="14">
        <v>0.28999999999999998</v>
      </c>
      <c r="I44" s="13">
        <v>4708</v>
      </c>
    </row>
    <row r="45" spans="1:9" x14ac:dyDescent="0.25">
      <c r="A45" s="4" t="s">
        <v>773</v>
      </c>
      <c r="B45" s="4" t="s">
        <v>934</v>
      </c>
      <c r="C45" s="4" t="s">
        <v>237</v>
      </c>
      <c r="D45" s="12">
        <v>2</v>
      </c>
      <c r="E45" s="12">
        <v>1</v>
      </c>
      <c r="F45" s="24">
        <v>138365.31</v>
      </c>
      <c r="G45" s="13">
        <f t="shared" si="1"/>
        <v>276730.62</v>
      </c>
      <c r="H45" s="14">
        <v>0.7</v>
      </c>
      <c r="I45" s="13">
        <v>153687</v>
      </c>
    </row>
    <row r="46" spans="1:9" x14ac:dyDescent="0.25">
      <c r="A46" s="4" t="s">
        <v>774</v>
      </c>
      <c r="B46" s="4" t="s">
        <v>937</v>
      </c>
      <c r="C46" s="4" t="s">
        <v>237</v>
      </c>
      <c r="D46" s="12">
        <v>3</v>
      </c>
      <c r="E46" s="12">
        <v>1</v>
      </c>
      <c r="F46" s="24">
        <v>42421.45</v>
      </c>
      <c r="G46" s="13">
        <f t="shared" si="1"/>
        <v>127264.34999999999</v>
      </c>
      <c r="H46" s="14">
        <v>0.45</v>
      </c>
      <c r="I46" s="13">
        <v>43180</v>
      </c>
    </row>
    <row r="47" spans="1:9" x14ac:dyDescent="0.25">
      <c r="A47" s="4" t="s">
        <v>775</v>
      </c>
      <c r="B47" s="4" t="s">
        <v>954</v>
      </c>
      <c r="C47" s="4" t="s">
        <v>237</v>
      </c>
      <c r="D47" s="12">
        <v>6</v>
      </c>
      <c r="E47" s="12">
        <v>3</v>
      </c>
      <c r="F47" s="24">
        <v>3441.12</v>
      </c>
      <c r="G47" s="13">
        <f t="shared" si="1"/>
        <v>20646.72</v>
      </c>
      <c r="H47" s="14">
        <v>0.64</v>
      </c>
      <c r="I47" s="13">
        <v>11604</v>
      </c>
    </row>
    <row r="48" spans="1:9" x14ac:dyDescent="0.25">
      <c r="A48" s="4" t="s">
        <v>776</v>
      </c>
      <c r="B48" s="4" t="s">
        <v>952</v>
      </c>
      <c r="C48" s="4" t="s">
        <v>237</v>
      </c>
      <c r="D48" s="12">
        <v>3</v>
      </c>
      <c r="E48" s="12">
        <v>0</v>
      </c>
      <c r="F48" s="24">
        <v>7737.23</v>
      </c>
      <c r="G48" s="13">
        <f t="shared" si="1"/>
        <v>23211.69</v>
      </c>
      <c r="H48" s="14">
        <v>0.12</v>
      </c>
      <c r="I48" s="13">
        <v>0</v>
      </c>
    </row>
    <row r="49" spans="1:9" x14ac:dyDescent="0.25">
      <c r="A49" s="4" t="s">
        <v>777</v>
      </c>
      <c r="B49" s="4" t="s">
        <v>951</v>
      </c>
      <c r="C49" s="4" t="s">
        <v>237</v>
      </c>
      <c r="D49" s="12">
        <v>2</v>
      </c>
      <c r="E49" s="12">
        <v>0</v>
      </c>
      <c r="F49" s="24">
        <v>3711.63</v>
      </c>
      <c r="G49" s="13">
        <f t="shared" si="1"/>
        <v>7423.26</v>
      </c>
      <c r="H49" s="14">
        <v>0.15</v>
      </c>
      <c r="I49" s="13">
        <v>0</v>
      </c>
    </row>
    <row r="50" spans="1:9" x14ac:dyDescent="0.25">
      <c r="A50" s="4" t="s">
        <v>778</v>
      </c>
      <c r="B50" s="4" t="s">
        <v>945</v>
      </c>
      <c r="C50" s="4" t="s">
        <v>237</v>
      </c>
      <c r="D50" s="12">
        <v>3</v>
      </c>
      <c r="E50" s="12">
        <v>1</v>
      </c>
      <c r="F50" s="24">
        <v>35013.199999999997</v>
      </c>
      <c r="G50" s="13">
        <f t="shared" si="1"/>
        <v>105039.59999999999</v>
      </c>
      <c r="H50" s="14">
        <v>0.52</v>
      </c>
      <c r="I50" s="13">
        <v>33594</v>
      </c>
    </row>
    <row r="51" spans="1:9" x14ac:dyDescent="0.25">
      <c r="A51" s="4" t="s">
        <v>779</v>
      </c>
      <c r="B51" s="4" t="s">
        <v>951</v>
      </c>
      <c r="C51" s="4" t="s">
        <v>237</v>
      </c>
      <c r="D51" s="12">
        <v>6</v>
      </c>
      <c r="E51" s="12">
        <v>0</v>
      </c>
      <c r="F51" s="24">
        <v>3548.55</v>
      </c>
      <c r="G51" s="13">
        <f t="shared" si="1"/>
        <v>21291.300000000003</v>
      </c>
      <c r="H51" s="14">
        <v>0.13</v>
      </c>
      <c r="I51" s="13">
        <v>0</v>
      </c>
    </row>
    <row r="52" spans="1:9" x14ac:dyDescent="0.25">
      <c r="A52" s="4" t="s">
        <v>780</v>
      </c>
      <c r="B52" s="4" t="s">
        <v>945</v>
      </c>
      <c r="C52" s="4" t="s">
        <v>237</v>
      </c>
      <c r="D52" s="12">
        <v>1</v>
      </c>
      <c r="E52" s="12">
        <v>0</v>
      </c>
      <c r="F52" s="24">
        <v>29871.47</v>
      </c>
      <c r="G52" s="13">
        <f t="shared" si="1"/>
        <v>29871.47</v>
      </c>
      <c r="H52" s="14">
        <v>0.08</v>
      </c>
      <c r="I52" s="13">
        <v>0</v>
      </c>
    </row>
    <row r="53" spans="1:9" x14ac:dyDescent="0.25">
      <c r="A53" s="4" t="s">
        <v>781</v>
      </c>
      <c r="B53" s="4" t="s">
        <v>955</v>
      </c>
      <c r="C53" s="4" t="s">
        <v>237</v>
      </c>
      <c r="D53" s="12">
        <v>3</v>
      </c>
      <c r="E53" s="12">
        <v>1</v>
      </c>
      <c r="F53" s="24">
        <v>3825.04</v>
      </c>
      <c r="G53" s="13">
        <f t="shared" si="1"/>
        <v>11475.119999999999</v>
      </c>
      <c r="H53" s="14">
        <v>0.48</v>
      </c>
      <c r="I53" s="13">
        <v>3794</v>
      </c>
    </row>
    <row r="54" spans="1:9" x14ac:dyDescent="0.25">
      <c r="A54" s="4" t="s">
        <v>782</v>
      </c>
      <c r="B54" s="4" t="s">
        <v>941</v>
      </c>
      <c r="C54" s="4" t="s">
        <v>237</v>
      </c>
      <c r="D54" s="12">
        <v>8</v>
      </c>
      <c r="E54" s="12">
        <v>1</v>
      </c>
      <c r="F54" s="24">
        <v>7488.04</v>
      </c>
      <c r="G54" s="13">
        <f t="shared" si="1"/>
        <v>59904.32</v>
      </c>
      <c r="H54" s="14">
        <v>0.31</v>
      </c>
      <c r="I54" s="13">
        <v>8150</v>
      </c>
    </row>
    <row r="55" spans="1:9" x14ac:dyDescent="0.25">
      <c r="A55" s="4" t="s">
        <v>783</v>
      </c>
      <c r="B55" s="4" t="s">
        <v>954</v>
      </c>
      <c r="C55" s="4" t="s">
        <v>237</v>
      </c>
      <c r="D55" s="12">
        <v>8</v>
      </c>
      <c r="E55" s="12">
        <v>1</v>
      </c>
      <c r="F55" s="24">
        <v>6041.59</v>
      </c>
      <c r="G55" s="13">
        <f t="shared" si="1"/>
        <v>48332.72</v>
      </c>
      <c r="H55" s="14">
        <v>0.17</v>
      </c>
      <c r="I55" s="13">
        <v>6272</v>
      </c>
    </row>
    <row r="56" spans="1:9" x14ac:dyDescent="0.25">
      <c r="A56" s="4" t="s">
        <v>784</v>
      </c>
      <c r="B56" s="4" t="s">
        <v>932</v>
      </c>
      <c r="C56" s="4" t="s">
        <v>237</v>
      </c>
      <c r="D56" s="12">
        <v>3</v>
      </c>
      <c r="E56" s="12">
        <v>1</v>
      </c>
      <c r="F56" s="24">
        <v>6906.11</v>
      </c>
      <c r="G56" s="13">
        <f t="shared" si="1"/>
        <v>20718.329999999998</v>
      </c>
      <c r="H56" s="14">
        <v>0.44</v>
      </c>
      <c r="I56" s="13">
        <v>7607</v>
      </c>
    </row>
    <row r="57" spans="1:9" x14ac:dyDescent="0.25">
      <c r="A57" s="4" t="s">
        <v>785</v>
      </c>
      <c r="B57" s="4" t="s">
        <v>940</v>
      </c>
      <c r="C57" s="4" t="s">
        <v>237</v>
      </c>
      <c r="D57" s="12">
        <v>6</v>
      </c>
      <c r="E57" s="12">
        <v>3</v>
      </c>
      <c r="F57" s="24">
        <v>3114.64</v>
      </c>
      <c r="G57" s="13">
        <f t="shared" si="1"/>
        <v>18687.84</v>
      </c>
      <c r="H57" s="14">
        <v>0.69</v>
      </c>
      <c r="I57" s="13">
        <v>10174</v>
      </c>
    </row>
    <row r="58" spans="1:9" x14ac:dyDescent="0.25">
      <c r="A58" s="4" t="s">
        <v>786</v>
      </c>
      <c r="B58" s="4" t="s">
        <v>939</v>
      </c>
      <c r="C58" s="4" t="s">
        <v>237</v>
      </c>
      <c r="D58" s="12">
        <v>1</v>
      </c>
      <c r="E58" s="12">
        <v>0</v>
      </c>
      <c r="F58" s="24">
        <v>97200.28</v>
      </c>
      <c r="G58" s="13">
        <f t="shared" si="1"/>
        <v>97200.28</v>
      </c>
      <c r="H58" s="14">
        <v>0.05</v>
      </c>
      <c r="I58" s="13">
        <v>0</v>
      </c>
    </row>
    <row r="59" spans="1:9" x14ac:dyDescent="0.25">
      <c r="A59" s="4" t="s">
        <v>787</v>
      </c>
      <c r="B59" s="4" t="s">
        <v>936</v>
      </c>
      <c r="C59" s="4" t="s">
        <v>237</v>
      </c>
      <c r="D59" s="12">
        <v>3</v>
      </c>
      <c r="E59" s="12">
        <v>1</v>
      </c>
      <c r="F59" s="24">
        <v>20905.810000000001</v>
      </c>
      <c r="G59" s="13">
        <f t="shared" si="1"/>
        <v>62717.430000000008</v>
      </c>
      <c r="H59" s="14">
        <v>0.47</v>
      </c>
      <c r="I59" s="13">
        <v>21802</v>
      </c>
    </row>
    <row r="60" spans="1:9" x14ac:dyDescent="0.25">
      <c r="A60" s="4" t="s">
        <v>788</v>
      </c>
      <c r="B60" s="4" t="s">
        <v>931</v>
      </c>
      <c r="C60" s="4" t="s">
        <v>237</v>
      </c>
      <c r="D60" s="12">
        <v>1</v>
      </c>
      <c r="E60" s="12">
        <v>0</v>
      </c>
      <c r="F60" s="24">
        <v>39725.120000000003</v>
      </c>
      <c r="G60" s="13">
        <f t="shared" si="1"/>
        <v>39725.120000000003</v>
      </c>
      <c r="H60" s="14">
        <v>0.05</v>
      </c>
      <c r="I60" s="13">
        <v>0</v>
      </c>
    </row>
    <row r="61" spans="1:9" x14ac:dyDescent="0.25">
      <c r="A61" s="4" t="s">
        <v>789</v>
      </c>
      <c r="B61" s="4" t="s">
        <v>945</v>
      </c>
      <c r="C61" s="4" t="s">
        <v>237</v>
      </c>
      <c r="D61" s="12">
        <v>1</v>
      </c>
      <c r="E61" s="12">
        <v>0</v>
      </c>
      <c r="F61" s="24">
        <v>35628.720000000001</v>
      </c>
      <c r="G61" s="13">
        <f t="shared" si="1"/>
        <v>35628.720000000001</v>
      </c>
      <c r="H61" s="14">
        <v>0.12</v>
      </c>
      <c r="I61" s="13">
        <v>0</v>
      </c>
    </row>
    <row r="62" spans="1:9" x14ac:dyDescent="0.25">
      <c r="A62" s="4" t="s">
        <v>790</v>
      </c>
      <c r="B62" s="4" t="s">
        <v>948</v>
      </c>
      <c r="C62" s="4" t="s">
        <v>237</v>
      </c>
      <c r="D62" s="12">
        <v>4</v>
      </c>
      <c r="E62" s="12">
        <v>2</v>
      </c>
      <c r="F62" s="24">
        <v>2043.17</v>
      </c>
      <c r="G62" s="13">
        <f t="shared" si="1"/>
        <v>8172.68</v>
      </c>
      <c r="H62" s="14">
        <v>0.66</v>
      </c>
      <c r="I62" s="13">
        <v>4071</v>
      </c>
    </row>
    <row r="63" spans="1:9" x14ac:dyDescent="0.25">
      <c r="A63" s="4" t="s">
        <v>791</v>
      </c>
      <c r="B63" s="4" t="s">
        <v>955</v>
      </c>
      <c r="C63" s="4" t="s">
        <v>237</v>
      </c>
      <c r="D63" s="12">
        <v>10</v>
      </c>
      <c r="E63" s="12">
        <v>5</v>
      </c>
      <c r="F63" s="24">
        <v>3085.29</v>
      </c>
      <c r="G63" s="13">
        <f t="shared" si="1"/>
        <v>30852.9</v>
      </c>
      <c r="H63" s="14">
        <v>0.56000000000000005</v>
      </c>
      <c r="I63" s="13">
        <v>15602</v>
      </c>
    </row>
    <row r="64" spans="1:9" x14ac:dyDescent="0.25">
      <c r="A64" s="4" t="s">
        <v>792</v>
      </c>
      <c r="B64" s="4" t="s">
        <v>953</v>
      </c>
      <c r="C64" s="4" t="s">
        <v>237</v>
      </c>
      <c r="D64" s="12">
        <v>4</v>
      </c>
      <c r="E64" s="12">
        <v>0</v>
      </c>
      <c r="F64" s="24">
        <v>22919.35</v>
      </c>
      <c r="G64" s="13">
        <f t="shared" si="1"/>
        <v>91677.4</v>
      </c>
      <c r="H64" s="14">
        <v>0.12</v>
      </c>
      <c r="I64" s="13">
        <v>0</v>
      </c>
    </row>
    <row r="65" spans="1:9" x14ac:dyDescent="0.25">
      <c r="A65" s="4" t="s">
        <v>793</v>
      </c>
      <c r="B65" s="4" t="s">
        <v>939</v>
      </c>
      <c r="C65" s="4" t="s">
        <v>237</v>
      </c>
      <c r="D65" s="12">
        <v>2</v>
      </c>
      <c r="E65" s="12">
        <v>1</v>
      </c>
      <c r="F65" s="24">
        <v>146487.97</v>
      </c>
      <c r="G65" s="13">
        <f t="shared" si="1"/>
        <v>292975.94</v>
      </c>
      <c r="H65" s="14">
        <v>0.59</v>
      </c>
      <c r="I65" s="13">
        <v>159407</v>
      </c>
    </row>
    <row r="66" spans="1:9" x14ac:dyDescent="0.25">
      <c r="A66" s="4" t="s">
        <v>794</v>
      </c>
      <c r="B66" s="4" t="s">
        <v>940</v>
      </c>
      <c r="C66" s="4" t="s">
        <v>237</v>
      </c>
      <c r="D66" s="12">
        <v>5</v>
      </c>
      <c r="E66" s="12">
        <v>1</v>
      </c>
      <c r="F66" s="24">
        <v>2161.88</v>
      </c>
      <c r="G66" s="13">
        <f t="shared" si="1"/>
        <v>10809.400000000001</v>
      </c>
      <c r="H66" s="14">
        <v>0.39</v>
      </c>
      <c r="I66" s="13">
        <v>2177</v>
      </c>
    </row>
    <row r="67" spans="1:9" x14ac:dyDescent="0.25">
      <c r="A67" s="4" t="s">
        <v>795</v>
      </c>
      <c r="B67" s="4" t="s">
        <v>956</v>
      </c>
      <c r="C67" s="4" t="s">
        <v>237</v>
      </c>
      <c r="D67" s="12">
        <v>1</v>
      </c>
      <c r="E67" s="12">
        <v>0</v>
      </c>
      <c r="F67" s="24">
        <v>86058.81</v>
      </c>
      <c r="G67" s="13">
        <f t="shared" si="1"/>
        <v>86058.81</v>
      </c>
      <c r="H67" s="14">
        <v>0.18</v>
      </c>
      <c r="I67" s="13">
        <v>0</v>
      </c>
    </row>
    <row r="68" spans="1:9" x14ac:dyDescent="0.25">
      <c r="A68" s="4" t="s">
        <v>796</v>
      </c>
      <c r="B68" s="4" t="s">
        <v>938</v>
      </c>
      <c r="C68" s="4" t="s">
        <v>237</v>
      </c>
      <c r="D68" s="12">
        <v>3</v>
      </c>
      <c r="E68" s="12">
        <v>0</v>
      </c>
      <c r="F68" s="24">
        <v>30152.87</v>
      </c>
      <c r="G68" s="13">
        <f t="shared" si="1"/>
        <v>90458.61</v>
      </c>
      <c r="H68" s="14">
        <v>0.04</v>
      </c>
      <c r="I68" s="13">
        <v>0</v>
      </c>
    </row>
    <row r="69" spans="1:9" x14ac:dyDescent="0.25">
      <c r="A69" s="4" t="s">
        <v>797</v>
      </c>
      <c r="B69" s="4" t="s">
        <v>932</v>
      </c>
      <c r="C69" s="4" t="s">
        <v>237</v>
      </c>
      <c r="D69" s="12">
        <v>6</v>
      </c>
      <c r="E69" s="12">
        <v>2</v>
      </c>
      <c r="F69" s="24">
        <v>6650.87</v>
      </c>
      <c r="G69" s="13">
        <f t="shared" ref="G69:G100" si="2">D69*F69</f>
        <v>39905.22</v>
      </c>
      <c r="H69" s="14">
        <v>0.39</v>
      </c>
      <c r="I69" s="13">
        <v>12984</v>
      </c>
    </row>
    <row r="70" spans="1:9" x14ac:dyDescent="0.25">
      <c r="A70" s="4" t="s">
        <v>798</v>
      </c>
      <c r="B70" s="4" t="s">
        <v>936</v>
      </c>
      <c r="C70" s="4" t="s">
        <v>237</v>
      </c>
      <c r="D70" s="12">
        <v>4</v>
      </c>
      <c r="E70" s="12">
        <v>1</v>
      </c>
      <c r="F70" s="24">
        <v>29377.15</v>
      </c>
      <c r="G70" s="13">
        <f t="shared" si="2"/>
        <v>117508.6</v>
      </c>
      <c r="H70" s="14">
        <v>0.39</v>
      </c>
      <c r="I70" s="13">
        <v>28177</v>
      </c>
    </row>
    <row r="71" spans="1:9" x14ac:dyDescent="0.25">
      <c r="A71" s="4" t="s">
        <v>799</v>
      </c>
      <c r="B71" s="4" t="s">
        <v>957</v>
      </c>
      <c r="C71" s="4" t="s">
        <v>237</v>
      </c>
      <c r="D71" s="12">
        <v>3</v>
      </c>
      <c r="E71" s="12">
        <v>1</v>
      </c>
      <c r="F71" s="24">
        <v>2353.67</v>
      </c>
      <c r="G71" s="13">
        <f t="shared" si="2"/>
        <v>7061.01</v>
      </c>
      <c r="H71" s="14">
        <v>0.46</v>
      </c>
      <c r="I71" s="13">
        <v>2587</v>
      </c>
    </row>
    <row r="72" spans="1:9" x14ac:dyDescent="0.25">
      <c r="A72" s="4" t="s">
        <v>800</v>
      </c>
      <c r="B72" s="4" t="s">
        <v>933</v>
      </c>
      <c r="C72" s="4" t="s">
        <v>237</v>
      </c>
      <c r="D72" s="12">
        <v>2</v>
      </c>
      <c r="E72" s="12">
        <v>1</v>
      </c>
      <c r="F72" s="24">
        <v>121485.31</v>
      </c>
      <c r="G72" s="13">
        <f t="shared" si="2"/>
        <v>242970.62</v>
      </c>
      <c r="H72" s="14">
        <v>0.65</v>
      </c>
      <c r="I72" s="13">
        <v>118998</v>
      </c>
    </row>
    <row r="73" spans="1:9" x14ac:dyDescent="0.25">
      <c r="A73" s="4" t="s">
        <v>801</v>
      </c>
      <c r="B73" s="4" t="s">
        <v>958</v>
      </c>
      <c r="C73" s="4" t="s">
        <v>237</v>
      </c>
      <c r="D73" s="12">
        <v>4</v>
      </c>
      <c r="E73" s="12">
        <v>1</v>
      </c>
      <c r="F73" s="24">
        <v>33654.400000000001</v>
      </c>
      <c r="G73" s="13">
        <f t="shared" si="2"/>
        <v>134617.60000000001</v>
      </c>
      <c r="H73" s="14">
        <v>0.36</v>
      </c>
      <c r="I73" s="13">
        <v>34449</v>
      </c>
    </row>
    <row r="74" spans="1:9" x14ac:dyDescent="0.25">
      <c r="A74" s="4" t="s">
        <v>802</v>
      </c>
      <c r="B74" s="4" t="s">
        <v>943</v>
      </c>
      <c r="C74" s="4" t="s">
        <v>237</v>
      </c>
      <c r="D74" s="12">
        <v>7</v>
      </c>
      <c r="E74" s="12">
        <v>3</v>
      </c>
      <c r="F74" s="24">
        <v>2759.87</v>
      </c>
      <c r="G74" s="13">
        <f t="shared" si="2"/>
        <v>19319.09</v>
      </c>
      <c r="H74" s="14">
        <v>0.56000000000000005</v>
      </c>
      <c r="I74" s="13">
        <v>8982</v>
      </c>
    </row>
    <row r="75" spans="1:9" x14ac:dyDescent="0.25">
      <c r="A75" s="4" t="s">
        <v>803</v>
      </c>
      <c r="B75" s="4" t="s">
        <v>959</v>
      </c>
      <c r="C75" s="4" t="s">
        <v>237</v>
      </c>
      <c r="D75" s="12">
        <v>3</v>
      </c>
      <c r="E75" s="12">
        <v>0</v>
      </c>
      <c r="F75" s="24">
        <v>1735.8</v>
      </c>
      <c r="G75" s="13">
        <f t="shared" si="2"/>
        <v>5207.3999999999996</v>
      </c>
      <c r="H75" s="14">
        <v>7.0000000000000007E-2</v>
      </c>
      <c r="I75" s="13">
        <v>0</v>
      </c>
    </row>
    <row r="76" spans="1:9" x14ac:dyDescent="0.25">
      <c r="A76" s="4" t="s">
        <v>804</v>
      </c>
      <c r="B76" s="4" t="s">
        <v>953</v>
      </c>
      <c r="C76" s="4" t="s">
        <v>237</v>
      </c>
      <c r="D76" s="12">
        <v>4</v>
      </c>
      <c r="E76" s="12">
        <v>1</v>
      </c>
      <c r="F76" s="24">
        <v>24189.45</v>
      </c>
      <c r="G76" s="13">
        <f t="shared" si="2"/>
        <v>96757.8</v>
      </c>
      <c r="H76" s="14">
        <v>0.42</v>
      </c>
      <c r="I76" s="13">
        <v>26242</v>
      </c>
    </row>
    <row r="77" spans="1:9" x14ac:dyDescent="0.25">
      <c r="A77" s="4" t="s">
        <v>805</v>
      </c>
      <c r="B77" s="4" t="s">
        <v>953</v>
      </c>
      <c r="C77" s="4" t="s">
        <v>237</v>
      </c>
      <c r="D77" s="12">
        <v>1</v>
      </c>
      <c r="E77" s="12">
        <v>0</v>
      </c>
      <c r="F77" s="24">
        <v>30492.240000000002</v>
      </c>
      <c r="G77" s="13">
        <f t="shared" si="2"/>
        <v>30492.240000000002</v>
      </c>
      <c r="H77" s="14">
        <v>0.15</v>
      </c>
      <c r="I77" s="13">
        <v>0</v>
      </c>
    </row>
    <row r="78" spans="1:9" x14ac:dyDescent="0.25">
      <c r="A78" s="4" t="s">
        <v>806</v>
      </c>
      <c r="B78" s="4" t="s">
        <v>941</v>
      </c>
      <c r="C78" s="4" t="s">
        <v>237</v>
      </c>
      <c r="D78" s="12">
        <v>5</v>
      </c>
      <c r="E78" s="12">
        <v>2</v>
      </c>
      <c r="F78" s="24">
        <v>6915.84</v>
      </c>
      <c r="G78" s="13">
        <f t="shared" si="2"/>
        <v>34579.199999999997</v>
      </c>
      <c r="H78" s="14">
        <v>0.55000000000000004</v>
      </c>
      <c r="I78" s="13">
        <v>13338</v>
      </c>
    </row>
    <row r="79" spans="1:9" x14ac:dyDescent="0.25">
      <c r="A79" s="4" t="s">
        <v>807</v>
      </c>
      <c r="B79" s="4" t="s">
        <v>955</v>
      </c>
      <c r="C79" s="4" t="s">
        <v>237</v>
      </c>
      <c r="D79" s="12">
        <v>6</v>
      </c>
      <c r="E79" s="12">
        <v>3</v>
      </c>
      <c r="F79" s="24">
        <v>3456.75</v>
      </c>
      <c r="G79" s="13">
        <f t="shared" si="2"/>
        <v>20740.5</v>
      </c>
      <c r="H79" s="14">
        <v>0.64</v>
      </c>
      <c r="I79" s="13">
        <v>9823</v>
      </c>
    </row>
    <row r="80" spans="1:9" x14ac:dyDescent="0.25">
      <c r="A80" s="4" t="s">
        <v>808</v>
      </c>
      <c r="B80" s="4" t="s">
        <v>941</v>
      </c>
      <c r="C80" s="4" t="s">
        <v>237</v>
      </c>
      <c r="D80" s="12">
        <v>2</v>
      </c>
      <c r="E80" s="12">
        <v>0</v>
      </c>
      <c r="F80" s="24">
        <v>3056</v>
      </c>
      <c r="G80" s="13">
        <f t="shared" si="2"/>
        <v>6112</v>
      </c>
      <c r="H80" s="14">
        <v>0.12</v>
      </c>
      <c r="I80" s="13">
        <v>0</v>
      </c>
    </row>
    <row r="81" spans="2:9" x14ac:dyDescent="0.25">
      <c r="B81" s="16" t="s">
        <v>879</v>
      </c>
      <c r="G81" s="8">
        <f>SUM(G5:G80)</f>
        <v>5551999.1700000018</v>
      </c>
      <c r="I81" s="8">
        <f>SUM(I5:I80)</f>
        <v>1476750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9"/>
  <sheetViews>
    <sheetView showGridLines="0" zoomScaleNormal="100" workbookViewId="0"/>
  </sheetViews>
  <sheetFormatPr baseColWidth="10" defaultColWidth="8.7109375" defaultRowHeight="15" x14ac:dyDescent="0.25"/>
  <cols>
    <col min="1" max="1" width="15" customWidth="1"/>
    <col min="2" max="2" width="52" customWidth="1"/>
    <col min="3" max="9" width="15" customWidth="1"/>
  </cols>
  <sheetData>
    <row r="1" spans="1:9" ht="17.25" x14ac:dyDescent="0.3">
      <c r="A1" s="1" t="s">
        <v>960</v>
      </c>
    </row>
    <row r="2" spans="1:9" x14ac:dyDescent="0.25">
      <c r="A2" s="2" t="s">
        <v>810</v>
      </c>
    </row>
    <row r="4" spans="1:9" x14ac:dyDescent="0.25">
      <c r="A4" s="23" t="s">
        <v>811</v>
      </c>
      <c r="B4" s="23" t="s">
        <v>812</v>
      </c>
      <c r="C4" s="23" t="s">
        <v>813</v>
      </c>
      <c r="D4" s="23" t="s">
        <v>814</v>
      </c>
      <c r="E4" s="23" t="s">
        <v>815</v>
      </c>
      <c r="F4" s="23" t="s">
        <v>816</v>
      </c>
      <c r="G4" s="23" t="s">
        <v>817</v>
      </c>
      <c r="H4" s="23" t="s">
        <v>818</v>
      </c>
      <c r="I4" s="23" t="s">
        <v>819</v>
      </c>
    </row>
    <row r="5" spans="1:9" x14ac:dyDescent="0.25">
      <c r="A5" s="4" t="s">
        <v>505</v>
      </c>
      <c r="B5" s="4" t="s">
        <v>961</v>
      </c>
      <c r="C5" s="4" t="s">
        <v>32</v>
      </c>
      <c r="D5" s="12">
        <v>1672</v>
      </c>
      <c r="E5" s="12">
        <v>779</v>
      </c>
      <c r="F5" s="24">
        <v>10.52</v>
      </c>
      <c r="G5" s="13">
        <f t="shared" ref="G5:G36" si="0">D5*F5</f>
        <v>17589.439999999999</v>
      </c>
      <c r="H5" s="14">
        <v>0.65</v>
      </c>
      <c r="I5" s="13">
        <v>8498</v>
      </c>
    </row>
    <row r="6" spans="1:9" x14ac:dyDescent="0.25">
      <c r="A6" s="4" t="s">
        <v>506</v>
      </c>
      <c r="B6" s="4" t="s">
        <v>962</v>
      </c>
      <c r="C6" s="4" t="s">
        <v>237</v>
      </c>
      <c r="D6" s="12">
        <v>42</v>
      </c>
      <c r="E6" s="12">
        <v>6</v>
      </c>
      <c r="F6" s="24">
        <v>774.98</v>
      </c>
      <c r="G6" s="13">
        <f t="shared" si="0"/>
        <v>32549.16</v>
      </c>
      <c r="H6" s="14">
        <v>0.21</v>
      </c>
      <c r="I6" s="13">
        <v>4529</v>
      </c>
    </row>
    <row r="7" spans="1:9" x14ac:dyDescent="0.25">
      <c r="A7" s="4" t="s">
        <v>507</v>
      </c>
      <c r="B7" s="4" t="s">
        <v>963</v>
      </c>
      <c r="C7" s="4" t="s">
        <v>237</v>
      </c>
      <c r="D7" s="12">
        <v>29</v>
      </c>
      <c r="E7" s="12">
        <v>8</v>
      </c>
      <c r="F7" s="24">
        <v>1615.18</v>
      </c>
      <c r="G7" s="13">
        <f t="shared" si="0"/>
        <v>46840.22</v>
      </c>
      <c r="H7" s="14">
        <v>0.41</v>
      </c>
      <c r="I7" s="13">
        <v>13025</v>
      </c>
    </row>
    <row r="8" spans="1:9" x14ac:dyDescent="0.25">
      <c r="A8" s="4" t="s">
        <v>508</v>
      </c>
      <c r="B8" s="4" t="s">
        <v>964</v>
      </c>
      <c r="C8" s="4" t="s">
        <v>237</v>
      </c>
      <c r="D8" s="12">
        <v>11</v>
      </c>
      <c r="E8" s="12">
        <v>2</v>
      </c>
      <c r="F8" s="24">
        <v>6485.06</v>
      </c>
      <c r="G8" s="13">
        <f t="shared" si="0"/>
        <v>71335.66</v>
      </c>
      <c r="H8" s="14">
        <v>0.35</v>
      </c>
      <c r="I8" s="13">
        <v>12611</v>
      </c>
    </row>
    <row r="9" spans="1:9" x14ac:dyDescent="0.25">
      <c r="A9" s="4" t="s">
        <v>509</v>
      </c>
      <c r="B9" s="4" t="s">
        <v>965</v>
      </c>
      <c r="C9" s="4" t="s">
        <v>237</v>
      </c>
      <c r="D9" s="12">
        <v>11</v>
      </c>
      <c r="E9" s="12">
        <v>5</v>
      </c>
      <c r="F9" s="24">
        <v>12274.17</v>
      </c>
      <c r="G9" s="13">
        <f t="shared" si="0"/>
        <v>135015.87</v>
      </c>
      <c r="H9" s="14">
        <v>0.53</v>
      </c>
      <c r="I9" s="13">
        <v>63601</v>
      </c>
    </row>
    <row r="10" spans="1:9" x14ac:dyDescent="0.25">
      <c r="A10" s="4" t="s">
        <v>510</v>
      </c>
      <c r="B10" s="4" t="s">
        <v>966</v>
      </c>
      <c r="C10" s="4" t="s">
        <v>237</v>
      </c>
      <c r="D10" s="12">
        <v>53</v>
      </c>
      <c r="E10" s="12">
        <v>22</v>
      </c>
      <c r="F10" s="24">
        <v>467.23</v>
      </c>
      <c r="G10" s="13">
        <f t="shared" si="0"/>
        <v>24763.190000000002</v>
      </c>
      <c r="H10" s="14">
        <v>0.48</v>
      </c>
      <c r="I10" s="13">
        <v>10725</v>
      </c>
    </row>
    <row r="11" spans="1:9" x14ac:dyDescent="0.25">
      <c r="A11" s="4" t="s">
        <v>511</v>
      </c>
      <c r="B11" s="4" t="s">
        <v>967</v>
      </c>
      <c r="C11" s="4" t="s">
        <v>237</v>
      </c>
      <c r="D11" s="12">
        <v>7</v>
      </c>
      <c r="E11" s="12">
        <v>1</v>
      </c>
      <c r="F11" s="24">
        <v>11261.55</v>
      </c>
      <c r="G11" s="13">
        <f t="shared" si="0"/>
        <v>78830.849999999991</v>
      </c>
      <c r="H11" s="14">
        <v>0.34</v>
      </c>
      <c r="I11" s="13">
        <v>12763</v>
      </c>
    </row>
    <row r="12" spans="1:9" x14ac:dyDescent="0.25">
      <c r="A12" s="4" t="s">
        <v>512</v>
      </c>
      <c r="B12" s="4" t="s">
        <v>968</v>
      </c>
      <c r="C12" s="4" t="s">
        <v>32</v>
      </c>
      <c r="D12" s="12">
        <v>3899</v>
      </c>
      <c r="E12" s="12">
        <v>923</v>
      </c>
      <c r="F12" s="24">
        <v>10.17</v>
      </c>
      <c r="G12" s="13">
        <f t="shared" si="0"/>
        <v>39652.83</v>
      </c>
      <c r="H12" s="14">
        <v>0.33</v>
      </c>
      <c r="I12" s="13">
        <v>8957</v>
      </c>
    </row>
    <row r="13" spans="1:9" x14ac:dyDescent="0.25">
      <c r="A13" s="4" t="s">
        <v>513</v>
      </c>
      <c r="B13" s="4" t="s">
        <v>967</v>
      </c>
      <c r="C13" s="4" t="s">
        <v>514</v>
      </c>
      <c r="D13" s="12">
        <v>10</v>
      </c>
      <c r="E13" s="12">
        <v>4</v>
      </c>
      <c r="F13" s="24">
        <v>6555.04</v>
      </c>
      <c r="G13" s="13">
        <f t="shared" si="0"/>
        <v>65550.399999999994</v>
      </c>
      <c r="H13" s="14">
        <v>0.48</v>
      </c>
      <c r="I13" s="13">
        <v>28536</v>
      </c>
    </row>
    <row r="14" spans="1:9" x14ac:dyDescent="0.25">
      <c r="A14" s="4" t="s">
        <v>515</v>
      </c>
      <c r="B14" s="4" t="s">
        <v>969</v>
      </c>
      <c r="C14" s="4" t="s">
        <v>32</v>
      </c>
      <c r="D14" s="12">
        <v>9018</v>
      </c>
      <c r="E14" s="12">
        <v>4050</v>
      </c>
      <c r="F14" s="24">
        <v>6.18</v>
      </c>
      <c r="G14" s="13">
        <f t="shared" si="0"/>
        <v>55731.24</v>
      </c>
      <c r="H14" s="14">
        <v>0.6</v>
      </c>
      <c r="I14" s="13">
        <v>24272</v>
      </c>
    </row>
    <row r="15" spans="1:9" x14ac:dyDescent="0.25">
      <c r="A15" s="4" t="s">
        <v>516</v>
      </c>
      <c r="B15" s="4" t="s">
        <v>967</v>
      </c>
      <c r="C15" s="4" t="s">
        <v>237</v>
      </c>
      <c r="D15" s="12">
        <v>5</v>
      </c>
      <c r="E15" s="12">
        <v>1</v>
      </c>
      <c r="F15" s="24">
        <v>6476.69</v>
      </c>
      <c r="G15" s="13">
        <f t="shared" si="0"/>
        <v>32383.449999999997</v>
      </c>
      <c r="H15" s="14">
        <v>0.35</v>
      </c>
      <c r="I15" s="13">
        <v>6730</v>
      </c>
    </row>
    <row r="16" spans="1:9" x14ac:dyDescent="0.25">
      <c r="A16" s="4" t="s">
        <v>517</v>
      </c>
      <c r="B16" s="4" t="s">
        <v>970</v>
      </c>
      <c r="C16" s="4" t="s">
        <v>237</v>
      </c>
      <c r="D16" s="12">
        <v>96</v>
      </c>
      <c r="E16" s="12">
        <v>35</v>
      </c>
      <c r="F16" s="24">
        <v>381.32</v>
      </c>
      <c r="G16" s="13">
        <f t="shared" si="0"/>
        <v>36606.720000000001</v>
      </c>
      <c r="H16" s="14">
        <v>0.55000000000000004</v>
      </c>
      <c r="I16" s="13">
        <v>13147</v>
      </c>
    </row>
    <row r="17" spans="1:9" x14ac:dyDescent="0.25">
      <c r="A17" s="4" t="s">
        <v>518</v>
      </c>
      <c r="B17" s="4" t="s">
        <v>971</v>
      </c>
      <c r="C17" s="4" t="s">
        <v>32</v>
      </c>
      <c r="D17" s="12">
        <v>1466</v>
      </c>
      <c r="E17" s="12">
        <v>605</v>
      </c>
      <c r="F17" s="24">
        <v>8.5</v>
      </c>
      <c r="G17" s="13">
        <f t="shared" si="0"/>
        <v>12461</v>
      </c>
      <c r="H17" s="14">
        <v>0.53</v>
      </c>
      <c r="I17" s="13">
        <v>5300</v>
      </c>
    </row>
    <row r="18" spans="1:9" x14ac:dyDescent="0.25">
      <c r="A18" s="4" t="s">
        <v>519</v>
      </c>
      <c r="B18" s="4" t="s">
        <v>972</v>
      </c>
      <c r="C18" s="4" t="s">
        <v>237</v>
      </c>
      <c r="D18" s="12">
        <v>63</v>
      </c>
      <c r="E18" s="12">
        <v>29</v>
      </c>
      <c r="F18" s="24">
        <v>1134.8599999999999</v>
      </c>
      <c r="G18" s="13">
        <f t="shared" si="0"/>
        <v>71496.179999999993</v>
      </c>
      <c r="H18" s="14">
        <v>0.63</v>
      </c>
      <c r="I18" s="13">
        <v>33792</v>
      </c>
    </row>
    <row r="19" spans="1:9" x14ac:dyDescent="0.25">
      <c r="A19" s="4" t="s">
        <v>520</v>
      </c>
      <c r="B19" s="4" t="s">
        <v>963</v>
      </c>
      <c r="C19" s="4" t="s">
        <v>237</v>
      </c>
      <c r="D19" s="12">
        <v>71</v>
      </c>
      <c r="E19" s="12">
        <v>35</v>
      </c>
      <c r="F19" s="24">
        <v>1443.56</v>
      </c>
      <c r="G19" s="13">
        <f t="shared" si="0"/>
        <v>102492.76</v>
      </c>
      <c r="H19" s="14">
        <v>0.56000000000000005</v>
      </c>
      <c r="I19" s="13">
        <v>53765</v>
      </c>
    </row>
    <row r="20" spans="1:9" x14ac:dyDescent="0.25">
      <c r="A20" s="4" t="s">
        <v>521</v>
      </c>
      <c r="B20" s="4" t="s">
        <v>973</v>
      </c>
      <c r="C20" s="4" t="s">
        <v>32</v>
      </c>
      <c r="D20" s="12">
        <v>13243</v>
      </c>
      <c r="E20" s="12">
        <v>2412</v>
      </c>
      <c r="F20" s="24">
        <v>6.3</v>
      </c>
      <c r="G20" s="13">
        <f t="shared" si="0"/>
        <v>83430.899999999994</v>
      </c>
      <c r="H20" s="14">
        <v>0.36</v>
      </c>
      <c r="I20" s="13">
        <v>17068</v>
      </c>
    </row>
    <row r="21" spans="1:9" x14ac:dyDescent="0.25">
      <c r="A21" s="4" t="s">
        <v>522</v>
      </c>
      <c r="B21" s="4" t="s">
        <v>974</v>
      </c>
      <c r="C21" s="4" t="s">
        <v>237</v>
      </c>
      <c r="D21" s="12">
        <v>5</v>
      </c>
      <c r="E21" s="12">
        <v>2</v>
      </c>
      <c r="F21" s="24">
        <v>11364.94</v>
      </c>
      <c r="G21" s="13">
        <f t="shared" si="0"/>
        <v>56824.700000000004</v>
      </c>
      <c r="H21" s="14">
        <v>0.5</v>
      </c>
      <c r="I21" s="13">
        <v>24675</v>
      </c>
    </row>
    <row r="22" spans="1:9" x14ac:dyDescent="0.25">
      <c r="A22" s="4" t="s">
        <v>523</v>
      </c>
      <c r="B22" s="4" t="s">
        <v>962</v>
      </c>
      <c r="C22" s="4" t="s">
        <v>237</v>
      </c>
      <c r="D22" s="12">
        <v>143</v>
      </c>
      <c r="E22" s="12">
        <v>37</v>
      </c>
      <c r="F22" s="24">
        <v>360.92</v>
      </c>
      <c r="G22" s="13">
        <f t="shared" si="0"/>
        <v>51611.560000000005</v>
      </c>
      <c r="H22" s="14">
        <v>0.42</v>
      </c>
      <c r="I22" s="13">
        <v>15103</v>
      </c>
    </row>
    <row r="23" spans="1:9" x14ac:dyDescent="0.25">
      <c r="A23" s="4" t="s">
        <v>524</v>
      </c>
      <c r="B23" s="4" t="s">
        <v>964</v>
      </c>
      <c r="C23" s="4" t="s">
        <v>237</v>
      </c>
      <c r="D23" s="12">
        <v>25</v>
      </c>
      <c r="E23" s="12">
        <v>12</v>
      </c>
      <c r="F23" s="24">
        <v>5087.66</v>
      </c>
      <c r="G23" s="13">
        <f t="shared" si="0"/>
        <v>127191.5</v>
      </c>
      <c r="H23" s="14">
        <v>0.61</v>
      </c>
      <c r="I23" s="13">
        <v>62791</v>
      </c>
    </row>
    <row r="24" spans="1:9" x14ac:dyDescent="0.25">
      <c r="A24" s="4" t="s">
        <v>525</v>
      </c>
      <c r="B24" s="4" t="s">
        <v>975</v>
      </c>
      <c r="C24" s="4" t="s">
        <v>32</v>
      </c>
      <c r="D24" s="12">
        <v>11626</v>
      </c>
      <c r="E24" s="12">
        <v>1831</v>
      </c>
      <c r="F24" s="24">
        <v>5.77</v>
      </c>
      <c r="G24" s="13">
        <f t="shared" si="0"/>
        <v>67082.01999999999</v>
      </c>
      <c r="H24" s="14">
        <v>0.31</v>
      </c>
      <c r="I24" s="13">
        <v>11508</v>
      </c>
    </row>
    <row r="25" spans="1:9" x14ac:dyDescent="0.25">
      <c r="A25" s="4" t="s">
        <v>526</v>
      </c>
      <c r="B25" s="4" t="s">
        <v>976</v>
      </c>
      <c r="C25" s="4" t="s">
        <v>32</v>
      </c>
      <c r="D25" s="12">
        <v>3839</v>
      </c>
      <c r="E25" s="12">
        <v>771</v>
      </c>
      <c r="F25" s="24">
        <v>6.08</v>
      </c>
      <c r="G25" s="13">
        <f t="shared" si="0"/>
        <v>23341.119999999999</v>
      </c>
      <c r="H25" s="14">
        <v>0.33</v>
      </c>
      <c r="I25" s="13">
        <v>4645</v>
      </c>
    </row>
    <row r="26" spans="1:9" x14ac:dyDescent="0.25">
      <c r="A26" s="4" t="s">
        <v>527</v>
      </c>
      <c r="B26" s="4" t="s">
        <v>977</v>
      </c>
      <c r="C26" s="4" t="s">
        <v>32</v>
      </c>
      <c r="D26" s="12">
        <v>13092</v>
      </c>
      <c r="E26" s="12">
        <v>4760</v>
      </c>
      <c r="F26" s="24">
        <v>6.15</v>
      </c>
      <c r="G26" s="13">
        <f t="shared" si="0"/>
        <v>80515.8</v>
      </c>
      <c r="H26" s="14">
        <v>0.56000000000000005</v>
      </c>
      <c r="I26" s="13">
        <v>30438</v>
      </c>
    </row>
    <row r="27" spans="1:9" x14ac:dyDescent="0.25">
      <c r="A27" s="4" t="s">
        <v>528</v>
      </c>
      <c r="B27" s="4" t="s">
        <v>974</v>
      </c>
      <c r="C27" s="4" t="s">
        <v>237</v>
      </c>
      <c r="D27" s="12">
        <v>8</v>
      </c>
      <c r="E27" s="12">
        <v>1</v>
      </c>
      <c r="F27" s="24">
        <v>12292.11</v>
      </c>
      <c r="G27" s="13">
        <f t="shared" si="0"/>
        <v>98336.88</v>
      </c>
      <c r="H27" s="14">
        <v>0.2</v>
      </c>
      <c r="I27" s="13">
        <v>13440</v>
      </c>
    </row>
    <row r="28" spans="1:9" x14ac:dyDescent="0.25">
      <c r="A28" s="4" t="s">
        <v>529</v>
      </c>
      <c r="B28" s="4" t="s">
        <v>976</v>
      </c>
      <c r="C28" s="4" t="s">
        <v>32</v>
      </c>
      <c r="D28" s="12">
        <v>1685</v>
      </c>
      <c r="E28" s="12">
        <v>792</v>
      </c>
      <c r="F28" s="24">
        <v>5.49</v>
      </c>
      <c r="G28" s="13">
        <f t="shared" si="0"/>
        <v>9250.65</v>
      </c>
      <c r="H28" s="14">
        <v>0.6</v>
      </c>
      <c r="I28" s="13">
        <v>4762</v>
      </c>
    </row>
    <row r="29" spans="1:9" x14ac:dyDescent="0.25">
      <c r="A29" s="4" t="s">
        <v>530</v>
      </c>
      <c r="B29" s="4" t="s">
        <v>975</v>
      </c>
      <c r="C29" s="4" t="s">
        <v>32</v>
      </c>
      <c r="D29" s="12">
        <v>2711</v>
      </c>
      <c r="E29" s="12">
        <v>601</v>
      </c>
      <c r="F29" s="24">
        <v>3.92</v>
      </c>
      <c r="G29" s="13">
        <f t="shared" si="0"/>
        <v>10627.119999999999</v>
      </c>
      <c r="H29" s="14">
        <v>0.32</v>
      </c>
      <c r="I29" s="13">
        <v>2228</v>
      </c>
    </row>
    <row r="30" spans="1:9" x14ac:dyDescent="0.25">
      <c r="A30" s="4" t="s">
        <v>531</v>
      </c>
      <c r="B30" s="4" t="s">
        <v>978</v>
      </c>
      <c r="C30" s="4" t="s">
        <v>237</v>
      </c>
      <c r="D30" s="12">
        <v>18</v>
      </c>
      <c r="E30" s="12">
        <v>5</v>
      </c>
      <c r="F30" s="24">
        <v>4975.3900000000003</v>
      </c>
      <c r="G30" s="13">
        <f t="shared" si="0"/>
        <v>89557.02</v>
      </c>
      <c r="H30" s="14">
        <v>0.47</v>
      </c>
      <c r="I30" s="13">
        <v>23487</v>
      </c>
    </row>
    <row r="31" spans="1:9" x14ac:dyDescent="0.25">
      <c r="A31" s="4" t="s">
        <v>532</v>
      </c>
      <c r="B31" s="4" t="s">
        <v>979</v>
      </c>
      <c r="C31" s="4" t="s">
        <v>237</v>
      </c>
      <c r="D31" s="12">
        <v>3</v>
      </c>
      <c r="E31" s="12">
        <v>1</v>
      </c>
      <c r="F31" s="24">
        <v>7345.36</v>
      </c>
      <c r="G31" s="13">
        <f t="shared" si="0"/>
        <v>22036.079999999998</v>
      </c>
      <c r="H31" s="14">
        <v>0.49</v>
      </c>
      <c r="I31" s="13">
        <v>7051</v>
      </c>
    </row>
    <row r="32" spans="1:9" x14ac:dyDescent="0.25">
      <c r="A32" s="4" t="s">
        <v>533</v>
      </c>
      <c r="B32" s="4" t="s">
        <v>980</v>
      </c>
      <c r="C32" s="4" t="s">
        <v>237</v>
      </c>
      <c r="D32" s="12">
        <v>11</v>
      </c>
      <c r="E32" s="12">
        <v>5</v>
      </c>
      <c r="F32" s="24">
        <v>8834.56</v>
      </c>
      <c r="G32" s="13">
        <f t="shared" si="0"/>
        <v>97180.159999999989</v>
      </c>
      <c r="H32" s="14">
        <v>0.63</v>
      </c>
      <c r="I32" s="13">
        <v>48884</v>
      </c>
    </row>
    <row r="33" spans="1:9" x14ac:dyDescent="0.25">
      <c r="A33" s="4" t="s">
        <v>534</v>
      </c>
      <c r="B33" s="4" t="s">
        <v>966</v>
      </c>
      <c r="C33" s="4" t="s">
        <v>237</v>
      </c>
      <c r="D33" s="12">
        <v>48</v>
      </c>
      <c r="E33" s="12">
        <v>11</v>
      </c>
      <c r="F33" s="24">
        <v>317.83</v>
      </c>
      <c r="G33" s="13">
        <f t="shared" si="0"/>
        <v>15255.84</v>
      </c>
      <c r="H33" s="14">
        <v>0.3</v>
      </c>
      <c r="I33" s="13">
        <v>3923</v>
      </c>
    </row>
    <row r="34" spans="1:9" x14ac:dyDescent="0.25">
      <c r="A34" s="4" t="s">
        <v>535</v>
      </c>
      <c r="B34" s="4" t="s">
        <v>965</v>
      </c>
      <c r="C34" s="4" t="s">
        <v>237</v>
      </c>
      <c r="D34" s="12">
        <v>3</v>
      </c>
      <c r="E34" s="12">
        <v>1</v>
      </c>
      <c r="F34" s="24">
        <v>11672.67</v>
      </c>
      <c r="G34" s="13">
        <f t="shared" si="0"/>
        <v>35018.01</v>
      </c>
      <c r="H34" s="14">
        <v>0.46</v>
      </c>
      <c r="I34" s="13">
        <v>12117</v>
      </c>
    </row>
    <row r="35" spans="1:9" x14ac:dyDescent="0.25">
      <c r="A35" s="4" t="s">
        <v>536</v>
      </c>
      <c r="B35" s="4" t="s">
        <v>968</v>
      </c>
      <c r="C35" s="4" t="s">
        <v>32</v>
      </c>
      <c r="D35" s="12">
        <v>2808</v>
      </c>
      <c r="E35" s="12">
        <v>1133</v>
      </c>
      <c r="F35" s="24">
        <v>6.91</v>
      </c>
      <c r="G35" s="13">
        <f t="shared" si="0"/>
        <v>19403.28</v>
      </c>
      <c r="H35" s="14">
        <v>0.54</v>
      </c>
      <c r="I35" s="13">
        <v>8320</v>
      </c>
    </row>
    <row r="36" spans="1:9" x14ac:dyDescent="0.25">
      <c r="A36" s="4" t="s">
        <v>537</v>
      </c>
      <c r="B36" s="4" t="s">
        <v>981</v>
      </c>
      <c r="C36" s="4" t="s">
        <v>237</v>
      </c>
      <c r="D36" s="12">
        <v>8</v>
      </c>
      <c r="E36" s="12">
        <v>2</v>
      </c>
      <c r="F36" s="24">
        <v>9760.3799999999992</v>
      </c>
      <c r="G36" s="13">
        <f t="shared" si="0"/>
        <v>78083.039999999994</v>
      </c>
      <c r="H36" s="14">
        <v>0.28999999999999998</v>
      </c>
      <c r="I36" s="13">
        <v>19390</v>
      </c>
    </row>
    <row r="37" spans="1:9" x14ac:dyDescent="0.25">
      <c r="A37" s="4" t="s">
        <v>538</v>
      </c>
      <c r="B37" s="4" t="s">
        <v>982</v>
      </c>
      <c r="C37" s="4" t="s">
        <v>237</v>
      </c>
      <c r="D37" s="12">
        <v>6</v>
      </c>
      <c r="E37" s="12">
        <v>1</v>
      </c>
      <c r="F37" s="24">
        <v>6199.8</v>
      </c>
      <c r="G37" s="13">
        <f t="shared" ref="G37:G68" si="1">D37*F37</f>
        <v>37198.800000000003</v>
      </c>
      <c r="H37" s="14">
        <v>0.28000000000000003</v>
      </c>
      <c r="I37" s="13">
        <v>6184</v>
      </c>
    </row>
    <row r="38" spans="1:9" x14ac:dyDescent="0.25">
      <c r="A38" s="4" t="s">
        <v>539</v>
      </c>
      <c r="B38" s="4" t="s">
        <v>968</v>
      </c>
      <c r="C38" s="4" t="s">
        <v>32</v>
      </c>
      <c r="D38" s="12">
        <v>1671</v>
      </c>
      <c r="E38" s="12">
        <v>764</v>
      </c>
      <c r="F38" s="24">
        <v>8.9700000000000006</v>
      </c>
      <c r="G38" s="13">
        <f t="shared" si="1"/>
        <v>14988.87</v>
      </c>
      <c r="H38" s="14">
        <v>0.54</v>
      </c>
      <c r="I38" s="13">
        <v>6810</v>
      </c>
    </row>
    <row r="39" spans="1:9" x14ac:dyDescent="0.25">
      <c r="A39" s="4" t="s">
        <v>540</v>
      </c>
      <c r="B39" s="4" t="s">
        <v>971</v>
      </c>
      <c r="C39" s="4" t="s">
        <v>32</v>
      </c>
      <c r="D39" s="12">
        <v>3364</v>
      </c>
      <c r="E39" s="12">
        <v>1012</v>
      </c>
      <c r="F39" s="24">
        <v>6.84</v>
      </c>
      <c r="G39" s="13">
        <f t="shared" si="1"/>
        <v>23009.759999999998</v>
      </c>
      <c r="H39" s="14">
        <v>0.36</v>
      </c>
      <c r="I39" s="13">
        <v>6754</v>
      </c>
    </row>
    <row r="40" spans="1:9" x14ac:dyDescent="0.25">
      <c r="A40" s="4" t="s">
        <v>541</v>
      </c>
      <c r="B40" s="4" t="s">
        <v>983</v>
      </c>
      <c r="C40" s="4" t="s">
        <v>237</v>
      </c>
      <c r="D40" s="12">
        <v>55</v>
      </c>
      <c r="E40" s="12">
        <v>11</v>
      </c>
      <c r="F40" s="24">
        <v>1566.45</v>
      </c>
      <c r="G40" s="13">
        <f t="shared" si="1"/>
        <v>86154.75</v>
      </c>
      <c r="H40" s="14">
        <v>0.25</v>
      </c>
      <c r="I40" s="13">
        <v>18112</v>
      </c>
    </row>
    <row r="41" spans="1:9" x14ac:dyDescent="0.25">
      <c r="A41" s="4" t="s">
        <v>542</v>
      </c>
      <c r="B41" s="4" t="s">
        <v>980</v>
      </c>
      <c r="C41" s="4" t="s">
        <v>237</v>
      </c>
      <c r="D41" s="12">
        <v>4</v>
      </c>
      <c r="E41" s="12">
        <v>1</v>
      </c>
      <c r="F41" s="24">
        <v>8342.2800000000007</v>
      </c>
      <c r="G41" s="13">
        <f t="shared" si="1"/>
        <v>33369.120000000003</v>
      </c>
      <c r="H41" s="14">
        <v>0.3</v>
      </c>
      <c r="I41" s="13">
        <v>8564</v>
      </c>
    </row>
    <row r="42" spans="1:9" x14ac:dyDescent="0.25">
      <c r="A42" s="4" t="s">
        <v>543</v>
      </c>
      <c r="B42" s="4" t="s">
        <v>968</v>
      </c>
      <c r="C42" s="4" t="s">
        <v>32</v>
      </c>
      <c r="D42" s="12">
        <v>2652</v>
      </c>
      <c r="E42" s="12">
        <v>343</v>
      </c>
      <c r="F42" s="24">
        <v>10.199999999999999</v>
      </c>
      <c r="G42" s="13">
        <f t="shared" si="1"/>
        <v>27050.399999999998</v>
      </c>
      <c r="H42" s="14">
        <v>0.3</v>
      </c>
      <c r="I42" s="13">
        <v>3741</v>
      </c>
    </row>
    <row r="43" spans="1:9" x14ac:dyDescent="0.25">
      <c r="A43" s="4" t="s">
        <v>544</v>
      </c>
      <c r="B43" s="4" t="s">
        <v>975</v>
      </c>
      <c r="C43" s="4" t="s">
        <v>32</v>
      </c>
      <c r="D43" s="12">
        <v>3674</v>
      </c>
      <c r="E43" s="12">
        <v>1213</v>
      </c>
      <c r="F43" s="24">
        <v>6.59</v>
      </c>
      <c r="G43" s="13">
        <f t="shared" si="1"/>
        <v>24211.66</v>
      </c>
      <c r="H43" s="14">
        <v>0.49</v>
      </c>
      <c r="I43" s="13">
        <v>7841</v>
      </c>
    </row>
    <row r="44" spans="1:9" x14ac:dyDescent="0.25">
      <c r="A44" s="4" t="s">
        <v>545</v>
      </c>
      <c r="B44" s="4" t="s">
        <v>971</v>
      </c>
      <c r="C44" s="4" t="s">
        <v>32</v>
      </c>
      <c r="D44" s="12">
        <v>3026</v>
      </c>
      <c r="E44" s="12">
        <v>309</v>
      </c>
      <c r="F44" s="24">
        <v>7.27</v>
      </c>
      <c r="G44" s="13">
        <f t="shared" si="1"/>
        <v>21999.02</v>
      </c>
      <c r="H44" s="14">
        <v>0.19</v>
      </c>
      <c r="I44" s="13">
        <v>2398</v>
      </c>
    </row>
    <row r="45" spans="1:9" x14ac:dyDescent="0.25">
      <c r="A45" s="4" t="s">
        <v>546</v>
      </c>
      <c r="B45" s="4" t="s">
        <v>971</v>
      </c>
      <c r="C45" s="4" t="s">
        <v>32</v>
      </c>
      <c r="D45" s="12">
        <v>3880</v>
      </c>
      <c r="E45" s="12">
        <v>1385</v>
      </c>
      <c r="F45" s="24">
        <v>7.43</v>
      </c>
      <c r="G45" s="13">
        <f t="shared" si="1"/>
        <v>28828.399999999998</v>
      </c>
      <c r="H45" s="14">
        <v>0.4</v>
      </c>
      <c r="I45" s="13">
        <v>11031</v>
      </c>
    </row>
    <row r="46" spans="1:9" x14ac:dyDescent="0.25">
      <c r="A46" s="4" t="s">
        <v>547</v>
      </c>
      <c r="B46" s="4" t="s">
        <v>978</v>
      </c>
      <c r="C46" s="4" t="s">
        <v>237</v>
      </c>
      <c r="D46" s="12">
        <v>14</v>
      </c>
      <c r="E46" s="12">
        <v>3</v>
      </c>
      <c r="F46" s="24">
        <v>7144.27</v>
      </c>
      <c r="G46" s="13">
        <f t="shared" si="1"/>
        <v>100019.78</v>
      </c>
      <c r="H46" s="14">
        <v>0.26</v>
      </c>
      <c r="I46" s="13">
        <v>22837</v>
      </c>
    </row>
    <row r="47" spans="1:9" x14ac:dyDescent="0.25">
      <c r="A47" s="4" t="s">
        <v>548</v>
      </c>
      <c r="B47" s="4" t="s">
        <v>982</v>
      </c>
      <c r="C47" s="4" t="s">
        <v>237</v>
      </c>
      <c r="D47" s="12">
        <v>21</v>
      </c>
      <c r="E47" s="12">
        <v>5</v>
      </c>
      <c r="F47" s="24">
        <v>4715.09</v>
      </c>
      <c r="G47" s="13">
        <f t="shared" si="1"/>
        <v>99016.89</v>
      </c>
      <c r="H47" s="14">
        <v>0.42</v>
      </c>
      <c r="I47" s="13">
        <v>25555</v>
      </c>
    </row>
    <row r="48" spans="1:9" x14ac:dyDescent="0.25">
      <c r="A48" s="4" t="s">
        <v>549</v>
      </c>
      <c r="B48" s="4" t="s">
        <v>962</v>
      </c>
      <c r="C48" s="4" t="s">
        <v>237</v>
      </c>
      <c r="D48" s="12">
        <v>190</v>
      </c>
      <c r="E48" s="12">
        <v>21</v>
      </c>
      <c r="F48" s="24">
        <v>748.86</v>
      </c>
      <c r="G48" s="13">
        <f t="shared" si="1"/>
        <v>142283.4</v>
      </c>
      <c r="H48" s="14">
        <v>0.23</v>
      </c>
      <c r="I48" s="13">
        <v>17252</v>
      </c>
    </row>
    <row r="49" spans="1:9" x14ac:dyDescent="0.25">
      <c r="A49" s="4" t="s">
        <v>550</v>
      </c>
      <c r="B49" s="4" t="s">
        <v>979</v>
      </c>
      <c r="C49" s="4" t="s">
        <v>237</v>
      </c>
      <c r="D49" s="12">
        <v>2</v>
      </c>
      <c r="E49" s="12">
        <v>1</v>
      </c>
      <c r="F49" s="24">
        <v>13132.23</v>
      </c>
      <c r="G49" s="13">
        <f t="shared" si="1"/>
        <v>26264.46</v>
      </c>
      <c r="H49" s="14">
        <v>0.67</v>
      </c>
      <c r="I49" s="13">
        <v>13221</v>
      </c>
    </row>
    <row r="50" spans="1:9" x14ac:dyDescent="0.25">
      <c r="A50" s="4" t="s">
        <v>551</v>
      </c>
      <c r="B50" s="4" t="s">
        <v>965</v>
      </c>
      <c r="C50" s="4" t="s">
        <v>237</v>
      </c>
      <c r="D50" s="12">
        <v>9</v>
      </c>
      <c r="E50" s="12">
        <v>2</v>
      </c>
      <c r="F50" s="24">
        <v>11550.59</v>
      </c>
      <c r="G50" s="13">
        <f t="shared" si="1"/>
        <v>103955.31</v>
      </c>
      <c r="H50" s="14">
        <v>0.4</v>
      </c>
      <c r="I50" s="13">
        <v>24998</v>
      </c>
    </row>
    <row r="51" spans="1:9" x14ac:dyDescent="0.25">
      <c r="A51" s="4" t="s">
        <v>552</v>
      </c>
      <c r="B51" s="4" t="s">
        <v>970</v>
      </c>
      <c r="C51" s="4" t="s">
        <v>237</v>
      </c>
      <c r="D51" s="12">
        <v>178</v>
      </c>
      <c r="E51" s="12">
        <v>74</v>
      </c>
      <c r="F51" s="24">
        <v>603.83000000000004</v>
      </c>
      <c r="G51" s="13">
        <f t="shared" si="1"/>
        <v>107481.74</v>
      </c>
      <c r="H51" s="14">
        <v>0.47</v>
      </c>
      <c r="I51" s="13">
        <v>50465</v>
      </c>
    </row>
    <row r="52" spans="1:9" x14ac:dyDescent="0.25">
      <c r="A52" s="4" t="s">
        <v>553</v>
      </c>
      <c r="B52" s="4" t="s">
        <v>976</v>
      </c>
      <c r="C52" s="4" t="s">
        <v>32</v>
      </c>
      <c r="D52" s="12">
        <v>1431</v>
      </c>
      <c r="E52" s="12">
        <v>494</v>
      </c>
      <c r="F52" s="24">
        <v>6.34</v>
      </c>
      <c r="G52" s="13">
        <f t="shared" si="1"/>
        <v>9072.5399999999991</v>
      </c>
      <c r="H52" s="14">
        <v>0.51</v>
      </c>
      <c r="I52" s="13">
        <v>3340</v>
      </c>
    </row>
    <row r="53" spans="1:9" x14ac:dyDescent="0.25">
      <c r="A53" s="4" t="s">
        <v>554</v>
      </c>
      <c r="B53" s="4" t="s">
        <v>984</v>
      </c>
      <c r="C53" s="4" t="s">
        <v>32</v>
      </c>
      <c r="D53" s="12">
        <v>2144</v>
      </c>
      <c r="E53" s="12">
        <v>1062</v>
      </c>
      <c r="F53" s="24">
        <v>5.92</v>
      </c>
      <c r="G53" s="13">
        <f t="shared" si="1"/>
        <v>12692.48</v>
      </c>
      <c r="H53" s="14">
        <v>0.6</v>
      </c>
      <c r="I53" s="13">
        <v>6156</v>
      </c>
    </row>
    <row r="54" spans="1:9" x14ac:dyDescent="0.25">
      <c r="A54" s="4" t="s">
        <v>555</v>
      </c>
      <c r="B54" s="4" t="s">
        <v>967</v>
      </c>
      <c r="C54" s="4" t="s">
        <v>237</v>
      </c>
      <c r="D54" s="12">
        <v>9</v>
      </c>
      <c r="E54" s="12">
        <v>4</v>
      </c>
      <c r="F54" s="24">
        <v>7563.17</v>
      </c>
      <c r="G54" s="13">
        <f t="shared" si="1"/>
        <v>68068.53</v>
      </c>
      <c r="H54" s="14">
        <v>0.62</v>
      </c>
      <c r="I54" s="13">
        <v>29974</v>
      </c>
    </row>
    <row r="55" spans="1:9" x14ac:dyDescent="0.25">
      <c r="A55" s="4" t="s">
        <v>556</v>
      </c>
      <c r="B55" s="4" t="s">
        <v>985</v>
      </c>
      <c r="C55" s="4" t="s">
        <v>237</v>
      </c>
      <c r="D55" s="12">
        <v>6</v>
      </c>
      <c r="E55" s="12">
        <v>1</v>
      </c>
      <c r="F55" s="24">
        <v>4588.5600000000004</v>
      </c>
      <c r="G55" s="13">
        <f t="shared" si="1"/>
        <v>27531.360000000001</v>
      </c>
      <c r="H55" s="14">
        <v>0.26</v>
      </c>
      <c r="I55" s="13">
        <v>4427</v>
      </c>
    </row>
    <row r="56" spans="1:9" x14ac:dyDescent="0.25">
      <c r="A56" s="4" t="s">
        <v>557</v>
      </c>
      <c r="B56" s="4" t="s">
        <v>986</v>
      </c>
      <c r="C56" s="4" t="s">
        <v>237</v>
      </c>
      <c r="D56" s="12">
        <v>138</v>
      </c>
      <c r="E56" s="12">
        <v>50</v>
      </c>
      <c r="F56" s="24">
        <v>365.88</v>
      </c>
      <c r="G56" s="13">
        <f t="shared" si="1"/>
        <v>50491.44</v>
      </c>
      <c r="H56" s="14">
        <v>0.45</v>
      </c>
      <c r="I56" s="13">
        <v>18231</v>
      </c>
    </row>
    <row r="57" spans="1:9" x14ac:dyDescent="0.25">
      <c r="A57" s="4" t="s">
        <v>558</v>
      </c>
      <c r="B57" s="4" t="s">
        <v>976</v>
      </c>
      <c r="C57" s="4" t="s">
        <v>32</v>
      </c>
      <c r="D57" s="12">
        <v>726</v>
      </c>
      <c r="E57" s="12">
        <v>193</v>
      </c>
      <c r="F57" s="24">
        <v>8.33</v>
      </c>
      <c r="G57" s="13">
        <f t="shared" si="1"/>
        <v>6047.58</v>
      </c>
      <c r="H57" s="14">
        <v>0.42</v>
      </c>
      <c r="I57" s="13">
        <v>1665</v>
      </c>
    </row>
    <row r="58" spans="1:9" x14ac:dyDescent="0.25">
      <c r="A58" s="4" t="s">
        <v>559</v>
      </c>
      <c r="B58" s="4" t="s">
        <v>964</v>
      </c>
      <c r="C58" s="4" t="s">
        <v>237</v>
      </c>
      <c r="D58" s="12">
        <v>10</v>
      </c>
      <c r="E58" s="12">
        <v>4</v>
      </c>
      <c r="F58" s="24">
        <v>6590.7</v>
      </c>
      <c r="G58" s="13">
        <f t="shared" si="1"/>
        <v>65907</v>
      </c>
      <c r="H58" s="14">
        <v>0.47</v>
      </c>
      <c r="I58" s="13">
        <v>28167</v>
      </c>
    </row>
    <row r="59" spans="1:9" x14ac:dyDescent="0.25">
      <c r="A59" s="4" t="s">
        <v>560</v>
      </c>
      <c r="B59" s="4" t="s">
        <v>975</v>
      </c>
      <c r="C59" s="4" t="s">
        <v>32</v>
      </c>
      <c r="D59" s="12">
        <v>13874</v>
      </c>
      <c r="E59" s="12">
        <v>1491</v>
      </c>
      <c r="F59" s="24">
        <v>4.3</v>
      </c>
      <c r="G59" s="13">
        <f t="shared" si="1"/>
        <v>59658.2</v>
      </c>
      <c r="H59" s="14">
        <v>0.18</v>
      </c>
      <c r="I59" s="13">
        <v>7176</v>
      </c>
    </row>
    <row r="60" spans="1:9" x14ac:dyDescent="0.25">
      <c r="A60" s="4" t="s">
        <v>561</v>
      </c>
      <c r="B60" s="4" t="s">
        <v>987</v>
      </c>
      <c r="C60" s="4" t="s">
        <v>237</v>
      </c>
      <c r="D60" s="12">
        <v>133</v>
      </c>
      <c r="E60" s="12">
        <v>41</v>
      </c>
      <c r="F60" s="24">
        <v>1629.28</v>
      </c>
      <c r="G60" s="13">
        <f t="shared" si="1"/>
        <v>216694.24</v>
      </c>
      <c r="H60" s="14">
        <v>0.48</v>
      </c>
      <c r="I60" s="13">
        <v>66893</v>
      </c>
    </row>
    <row r="61" spans="1:9" x14ac:dyDescent="0.25">
      <c r="A61" s="4" t="s">
        <v>562</v>
      </c>
      <c r="B61" s="4" t="s">
        <v>985</v>
      </c>
      <c r="C61" s="4" t="s">
        <v>237</v>
      </c>
      <c r="D61" s="12">
        <v>18</v>
      </c>
      <c r="E61" s="12">
        <v>4</v>
      </c>
      <c r="F61" s="24">
        <v>6739.11</v>
      </c>
      <c r="G61" s="13">
        <f t="shared" si="1"/>
        <v>121303.98</v>
      </c>
      <c r="H61" s="14">
        <v>0.32</v>
      </c>
      <c r="I61" s="13">
        <v>27166</v>
      </c>
    </row>
    <row r="62" spans="1:9" x14ac:dyDescent="0.25">
      <c r="A62" s="4" t="s">
        <v>563</v>
      </c>
      <c r="B62" s="4" t="s">
        <v>985</v>
      </c>
      <c r="C62" s="4" t="s">
        <v>237</v>
      </c>
      <c r="D62" s="12">
        <v>39</v>
      </c>
      <c r="E62" s="12">
        <v>9</v>
      </c>
      <c r="F62" s="24">
        <v>6697.93</v>
      </c>
      <c r="G62" s="13">
        <f t="shared" si="1"/>
        <v>261219.27000000002</v>
      </c>
      <c r="H62" s="14">
        <v>0.38</v>
      </c>
      <c r="I62" s="13">
        <v>62877</v>
      </c>
    </row>
    <row r="63" spans="1:9" x14ac:dyDescent="0.25">
      <c r="A63" s="4" t="s">
        <v>564</v>
      </c>
      <c r="B63" s="4" t="s">
        <v>961</v>
      </c>
      <c r="C63" s="4" t="s">
        <v>32</v>
      </c>
      <c r="D63" s="12">
        <v>1132</v>
      </c>
      <c r="E63" s="12">
        <v>505</v>
      </c>
      <c r="F63" s="24">
        <v>10.93</v>
      </c>
      <c r="G63" s="13">
        <f t="shared" si="1"/>
        <v>12372.76</v>
      </c>
      <c r="H63" s="14">
        <v>0.51</v>
      </c>
      <c r="I63" s="13">
        <v>6188</v>
      </c>
    </row>
    <row r="64" spans="1:9" x14ac:dyDescent="0.25">
      <c r="A64" s="4" t="s">
        <v>565</v>
      </c>
      <c r="B64" s="4" t="s">
        <v>986</v>
      </c>
      <c r="C64" s="4" t="s">
        <v>237</v>
      </c>
      <c r="D64" s="12">
        <v>50</v>
      </c>
      <c r="E64" s="12">
        <v>25</v>
      </c>
      <c r="F64" s="24">
        <v>694.74</v>
      </c>
      <c r="G64" s="13">
        <f t="shared" si="1"/>
        <v>34737</v>
      </c>
      <c r="H64" s="14">
        <v>0.63</v>
      </c>
      <c r="I64" s="13">
        <v>16951</v>
      </c>
    </row>
    <row r="65" spans="1:9" x14ac:dyDescent="0.25">
      <c r="A65" s="4" t="s">
        <v>566</v>
      </c>
      <c r="B65" s="4" t="s">
        <v>968</v>
      </c>
      <c r="C65" s="4" t="s">
        <v>32</v>
      </c>
      <c r="D65" s="12">
        <v>3270</v>
      </c>
      <c r="E65" s="12">
        <v>628</v>
      </c>
      <c r="F65" s="24">
        <v>7.29</v>
      </c>
      <c r="G65" s="13">
        <f t="shared" si="1"/>
        <v>23838.3</v>
      </c>
      <c r="H65" s="14">
        <v>0.33</v>
      </c>
      <c r="I65" s="13">
        <v>4708</v>
      </c>
    </row>
    <row r="66" spans="1:9" x14ac:dyDescent="0.25">
      <c r="A66" s="4" t="s">
        <v>567</v>
      </c>
      <c r="B66" s="4" t="s">
        <v>988</v>
      </c>
      <c r="C66" s="4" t="s">
        <v>237</v>
      </c>
      <c r="D66" s="12">
        <v>32</v>
      </c>
      <c r="E66" s="12">
        <v>14</v>
      </c>
      <c r="F66" s="24">
        <v>9121.81</v>
      </c>
      <c r="G66" s="13">
        <f t="shared" si="1"/>
        <v>291897.92</v>
      </c>
      <c r="H66" s="14">
        <v>0.55000000000000004</v>
      </c>
      <c r="I66" s="13">
        <v>132897</v>
      </c>
    </row>
    <row r="67" spans="1:9" x14ac:dyDescent="0.25">
      <c r="A67" s="4" t="s">
        <v>568</v>
      </c>
      <c r="B67" s="4" t="s">
        <v>989</v>
      </c>
      <c r="C67" s="4" t="s">
        <v>32</v>
      </c>
      <c r="D67" s="12">
        <v>3151</v>
      </c>
      <c r="E67" s="12">
        <v>355</v>
      </c>
      <c r="F67" s="24">
        <v>6.19</v>
      </c>
      <c r="G67" s="13">
        <f t="shared" si="1"/>
        <v>19504.690000000002</v>
      </c>
      <c r="H67" s="14">
        <v>0.26</v>
      </c>
      <c r="I67" s="13">
        <v>2126</v>
      </c>
    </row>
    <row r="68" spans="1:9" x14ac:dyDescent="0.25">
      <c r="A68" s="4" t="s">
        <v>569</v>
      </c>
      <c r="B68" s="4" t="s">
        <v>970</v>
      </c>
      <c r="C68" s="4" t="s">
        <v>237</v>
      </c>
      <c r="D68" s="12">
        <v>192</v>
      </c>
      <c r="E68" s="12">
        <v>69</v>
      </c>
      <c r="F68" s="24">
        <v>309.10000000000002</v>
      </c>
      <c r="G68" s="13">
        <f t="shared" si="1"/>
        <v>59347.200000000004</v>
      </c>
      <c r="H68" s="14">
        <v>0.49</v>
      </c>
      <c r="I68" s="13">
        <v>20334</v>
      </c>
    </row>
    <row r="69" spans="1:9" x14ac:dyDescent="0.25">
      <c r="A69" s="4" t="s">
        <v>570</v>
      </c>
      <c r="B69" s="4" t="s">
        <v>973</v>
      </c>
      <c r="C69" s="4" t="s">
        <v>32</v>
      </c>
      <c r="D69" s="12">
        <v>13119</v>
      </c>
      <c r="E69" s="12">
        <v>5019</v>
      </c>
      <c r="F69" s="24">
        <v>6.42</v>
      </c>
      <c r="G69" s="13">
        <f t="shared" ref="G69:G100" si="2">D69*F69</f>
        <v>84223.98</v>
      </c>
      <c r="H69" s="14">
        <v>0.51</v>
      </c>
      <c r="I69" s="13">
        <v>33729</v>
      </c>
    </row>
    <row r="70" spans="1:9" x14ac:dyDescent="0.25">
      <c r="A70" s="4" t="s">
        <v>571</v>
      </c>
      <c r="B70" s="4" t="s">
        <v>990</v>
      </c>
      <c r="C70" s="4" t="s">
        <v>237</v>
      </c>
      <c r="D70" s="12">
        <v>57</v>
      </c>
      <c r="E70" s="12">
        <v>14</v>
      </c>
      <c r="F70" s="24">
        <v>1470.12</v>
      </c>
      <c r="G70" s="13">
        <f t="shared" si="2"/>
        <v>83796.84</v>
      </c>
      <c r="H70" s="14">
        <v>0.37</v>
      </c>
      <c r="I70" s="13">
        <v>20440</v>
      </c>
    </row>
    <row r="71" spans="1:9" x14ac:dyDescent="0.25">
      <c r="A71" s="4" t="s">
        <v>572</v>
      </c>
      <c r="B71" s="4" t="s">
        <v>991</v>
      </c>
      <c r="C71" s="4" t="s">
        <v>237</v>
      </c>
      <c r="D71" s="12">
        <v>178</v>
      </c>
      <c r="E71" s="12">
        <v>37</v>
      </c>
      <c r="F71" s="24">
        <v>759.74</v>
      </c>
      <c r="G71" s="13">
        <f t="shared" si="2"/>
        <v>135233.72</v>
      </c>
      <c r="H71" s="14">
        <v>0.28999999999999998</v>
      </c>
      <c r="I71" s="13">
        <v>28793</v>
      </c>
    </row>
    <row r="72" spans="1:9" x14ac:dyDescent="0.25">
      <c r="A72" s="4" t="s">
        <v>573</v>
      </c>
      <c r="B72" s="4" t="s">
        <v>966</v>
      </c>
      <c r="C72" s="4" t="s">
        <v>237</v>
      </c>
      <c r="D72" s="12">
        <v>91</v>
      </c>
      <c r="E72" s="12">
        <v>29</v>
      </c>
      <c r="F72" s="24">
        <v>573.47</v>
      </c>
      <c r="G72" s="13">
        <f t="shared" si="2"/>
        <v>52185.770000000004</v>
      </c>
      <c r="H72" s="14">
        <v>0.37</v>
      </c>
      <c r="I72" s="13">
        <v>16299</v>
      </c>
    </row>
    <row r="73" spans="1:9" x14ac:dyDescent="0.25">
      <c r="A73" s="4" t="s">
        <v>574</v>
      </c>
      <c r="B73" s="4" t="s">
        <v>992</v>
      </c>
      <c r="C73" s="4" t="s">
        <v>237</v>
      </c>
      <c r="D73" s="12">
        <v>13</v>
      </c>
      <c r="E73" s="12">
        <v>6</v>
      </c>
      <c r="F73" s="24">
        <v>5549.69</v>
      </c>
      <c r="G73" s="13">
        <f t="shared" si="2"/>
        <v>72145.97</v>
      </c>
      <c r="H73" s="14">
        <v>0.66</v>
      </c>
      <c r="I73" s="13">
        <v>32954</v>
      </c>
    </row>
    <row r="74" spans="1:9" x14ac:dyDescent="0.25">
      <c r="A74" s="4" t="s">
        <v>575</v>
      </c>
      <c r="B74" s="4" t="s">
        <v>991</v>
      </c>
      <c r="C74" s="4" t="s">
        <v>237</v>
      </c>
      <c r="D74" s="12">
        <v>58</v>
      </c>
      <c r="E74" s="12">
        <v>9</v>
      </c>
      <c r="F74" s="24">
        <v>404.32</v>
      </c>
      <c r="G74" s="13">
        <f t="shared" si="2"/>
        <v>23450.560000000001</v>
      </c>
      <c r="H74" s="14">
        <v>0.3</v>
      </c>
      <c r="I74" s="13">
        <v>3885</v>
      </c>
    </row>
    <row r="75" spans="1:9" x14ac:dyDescent="0.25">
      <c r="A75" s="4" t="s">
        <v>576</v>
      </c>
      <c r="B75" s="4" t="s">
        <v>968</v>
      </c>
      <c r="C75" s="4" t="s">
        <v>32</v>
      </c>
      <c r="D75" s="12">
        <v>888</v>
      </c>
      <c r="E75" s="12">
        <v>231</v>
      </c>
      <c r="F75" s="24">
        <v>6.48</v>
      </c>
      <c r="G75" s="13">
        <f t="shared" si="2"/>
        <v>5754.2400000000007</v>
      </c>
      <c r="H75" s="14">
        <v>0.46</v>
      </c>
      <c r="I75" s="13">
        <v>1683</v>
      </c>
    </row>
    <row r="76" spans="1:9" x14ac:dyDescent="0.25">
      <c r="A76" s="4" t="s">
        <v>577</v>
      </c>
      <c r="B76" s="4" t="s">
        <v>988</v>
      </c>
      <c r="C76" s="4" t="s">
        <v>237</v>
      </c>
      <c r="D76" s="12">
        <v>37</v>
      </c>
      <c r="E76" s="12">
        <v>18</v>
      </c>
      <c r="F76" s="24">
        <v>5548.43</v>
      </c>
      <c r="G76" s="13">
        <f t="shared" si="2"/>
        <v>205291.91</v>
      </c>
      <c r="H76" s="14">
        <v>0.63</v>
      </c>
      <c r="I76" s="13">
        <v>98063</v>
      </c>
    </row>
    <row r="77" spans="1:9" x14ac:dyDescent="0.25">
      <c r="A77" s="4" t="s">
        <v>578</v>
      </c>
      <c r="B77" s="4" t="s">
        <v>993</v>
      </c>
      <c r="C77" s="4" t="s">
        <v>32</v>
      </c>
      <c r="D77" s="12">
        <v>10867</v>
      </c>
      <c r="E77" s="12">
        <v>1618</v>
      </c>
      <c r="F77" s="24">
        <v>5.81</v>
      </c>
      <c r="G77" s="13">
        <f t="shared" si="2"/>
        <v>63137.27</v>
      </c>
      <c r="H77" s="14">
        <v>0.28000000000000003</v>
      </c>
      <c r="I77" s="13">
        <v>10494</v>
      </c>
    </row>
    <row r="78" spans="1:9" x14ac:dyDescent="0.25">
      <c r="A78" s="4" t="s">
        <v>579</v>
      </c>
      <c r="B78" s="4" t="s">
        <v>961</v>
      </c>
      <c r="C78" s="4" t="s">
        <v>32</v>
      </c>
      <c r="D78" s="12">
        <v>2602</v>
      </c>
      <c r="E78" s="12">
        <v>474</v>
      </c>
      <c r="F78" s="24">
        <v>10.56</v>
      </c>
      <c r="G78" s="13">
        <f t="shared" si="2"/>
        <v>27477.120000000003</v>
      </c>
      <c r="H78" s="14">
        <v>0.35</v>
      </c>
      <c r="I78" s="13">
        <v>4785</v>
      </c>
    </row>
    <row r="79" spans="1:9" x14ac:dyDescent="0.25">
      <c r="A79" s="4" t="s">
        <v>580</v>
      </c>
      <c r="B79" s="4" t="s">
        <v>972</v>
      </c>
      <c r="C79" s="4" t="s">
        <v>237</v>
      </c>
      <c r="D79" s="12">
        <v>124</v>
      </c>
      <c r="E79" s="12">
        <v>25</v>
      </c>
      <c r="F79" s="24">
        <v>1491.18</v>
      </c>
      <c r="G79" s="13">
        <f t="shared" si="2"/>
        <v>184906.32</v>
      </c>
      <c r="H79" s="14">
        <v>0.34</v>
      </c>
      <c r="I79" s="13">
        <v>41241</v>
      </c>
    </row>
    <row r="80" spans="1:9" x14ac:dyDescent="0.25">
      <c r="A80" s="4" t="s">
        <v>581</v>
      </c>
      <c r="B80" s="4" t="s">
        <v>973</v>
      </c>
      <c r="C80" s="4" t="s">
        <v>32</v>
      </c>
      <c r="D80" s="12">
        <v>10243</v>
      </c>
      <c r="E80" s="12">
        <v>4046</v>
      </c>
      <c r="F80" s="24">
        <v>5.73</v>
      </c>
      <c r="G80" s="13">
        <f t="shared" si="2"/>
        <v>58692.390000000007</v>
      </c>
      <c r="H80" s="14">
        <v>0.57999999999999996</v>
      </c>
      <c r="I80" s="13">
        <v>22411</v>
      </c>
    </row>
    <row r="81" spans="1:9" x14ac:dyDescent="0.25">
      <c r="A81" s="4" t="s">
        <v>582</v>
      </c>
      <c r="B81" s="4" t="s">
        <v>987</v>
      </c>
      <c r="C81" s="4" t="s">
        <v>237</v>
      </c>
      <c r="D81" s="12">
        <v>180</v>
      </c>
      <c r="E81" s="12">
        <v>81</v>
      </c>
      <c r="F81" s="24">
        <v>1835.86</v>
      </c>
      <c r="G81" s="13">
        <f t="shared" si="2"/>
        <v>330454.8</v>
      </c>
      <c r="H81" s="14">
        <v>0.63</v>
      </c>
      <c r="I81" s="13">
        <v>141649</v>
      </c>
    </row>
    <row r="82" spans="1:9" x14ac:dyDescent="0.25">
      <c r="A82" s="4" t="s">
        <v>583</v>
      </c>
      <c r="B82" s="4" t="s">
        <v>962</v>
      </c>
      <c r="C82" s="4" t="s">
        <v>237</v>
      </c>
      <c r="D82" s="12">
        <v>56</v>
      </c>
      <c r="E82" s="12">
        <v>23</v>
      </c>
      <c r="F82" s="24">
        <v>521.86</v>
      </c>
      <c r="G82" s="13">
        <f t="shared" si="2"/>
        <v>29224.16</v>
      </c>
      <c r="H82" s="14">
        <v>0.54</v>
      </c>
      <c r="I82" s="13">
        <v>12243</v>
      </c>
    </row>
    <row r="83" spans="1:9" x14ac:dyDescent="0.25">
      <c r="A83" s="4" t="s">
        <v>584</v>
      </c>
      <c r="B83" s="4" t="s">
        <v>980</v>
      </c>
      <c r="C83" s="4" t="s">
        <v>237</v>
      </c>
      <c r="D83" s="12">
        <v>10</v>
      </c>
      <c r="E83" s="12">
        <v>2</v>
      </c>
      <c r="F83" s="24">
        <v>7418.73</v>
      </c>
      <c r="G83" s="13">
        <f t="shared" si="2"/>
        <v>74187.299999999988</v>
      </c>
      <c r="H83" s="14">
        <v>0.35</v>
      </c>
      <c r="I83" s="13">
        <v>16646</v>
      </c>
    </row>
    <row r="84" spans="1:9" x14ac:dyDescent="0.25">
      <c r="A84" s="4" t="s">
        <v>585</v>
      </c>
      <c r="B84" s="4" t="s">
        <v>970</v>
      </c>
      <c r="C84" s="4" t="s">
        <v>237</v>
      </c>
      <c r="D84" s="12">
        <v>151</v>
      </c>
      <c r="E84" s="12">
        <v>42</v>
      </c>
      <c r="F84" s="24">
        <v>676.93</v>
      </c>
      <c r="G84" s="13">
        <f t="shared" si="2"/>
        <v>102216.43</v>
      </c>
      <c r="H84" s="14">
        <v>0.46</v>
      </c>
      <c r="I84" s="13">
        <v>28342</v>
      </c>
    </row>
    <row r="85" spans="1:9" x14ac:dyDescent="0.25">
      <c r="A85" s="4" t="s">
        <v>586</v>
      </c>
      <c r="B85" s="4" t="s">
        <v>982</v>
      </c>
      <c r="C85" s="4" t="s">
        <v>237</v>
      </c>
      <c r="D85" s="12">
        <v>9</v>
      </c>
      <c r="E85" s="12">
        <v>2</v>
      </c>
      <c r="F85" s="24">
        <v>6421.65</v>
      </c>
      <c r="G85" s="13">
        <f t="shared" si="2"/>
        <v>57794.85</v>
      </c>
      <c r="H85" s="14">
        <v>0.41</v>
      </c>
      <c r="I85" s="13">
        <v>14491</v>
      </c>
    </row>
    <row r="86" spans="1:9" x14ac:dyDescent="0.25">
      <c r="A86" s="4" t="s">
        <v>587</v>
      </c>
      <c r="B86" s="4" t="s">
        <v>985</v>
      </c>
      <c r="C86" s="4" t="s">
        <v>237</v>
      </c>
      <c r="D86" s="12">
        <v>8</v>
      </c>
      <c r="E86" s="12">
        <v>4</v>
      </c>
      <c r="F86" s="24">
        <v>4505.6000000000004</v>
      </c>
      <c r="G86" s="13">
        <f t="shared" si="2"/>
        <v>36044.800000000003</v>
      </c>
      <c r="H86" s="14">
        <v>0.6</v>
      </c>
      <c r="I86" s="13">
        <v>18052</v>
      </c>
    </row>
    <row r="87" spans="1:9" x14ac:dyDescent="0.25">
      <c r="A87" s="4" t="s">
        <v>588</v>
      </c>
      <c r="B87" s="4" t="s">
        <v>973</v>
      </c>
      <c r="C87" s="4" t="s">
        <v>32</v>
      </c>
      <c r="D87" s="12">
        <v>9531</v>
      </c>
      <c r="E87" s="12">
        <v>1762</v>
      </c>
      <c r="F87" s="24">
        <v>4.8</v>
      </c>
      <c r="G87" s="13">
        <f t="shared" si="2"/>
        <v>45748.799999999996</v>
      </c>
      <c r="H87" s="14">
        <v>0.35</v>
      </c>
      <c r="I87" s="13">
        <v>8184</v>
      </c>
    </row>
    <row r="88" spans="1:9" x14ac:dyDescent="0.25">
      <c r="A88" s="4" t="s">
        <v>589</v>
      </c>
      <c r="B88" s="4" t="s">
        <v>993</v>
      </c>
      <c r="C88" s="4" t="s">
        <v>32</v>
      </c>
      <c r="D88" s="12">
        <v>8979</v>
      </c>
      <c r="E88" s="12">
        <v>993</v>
      </c>
      <c r="F88" s="24">
        <v>7.05</v>
      </c>
      <c r="G88" s="13">
        <f t="shared" si="2"/>
        <v>63301.95</v>
      </c>
      <c r="H88" s="14">
        <v>0.26</v>
      </c>
      <c r="I88" s="13">
        <v>7008</v>
      </c>
    </row>
    <row r="89" spans="1:9" x14ac:dyDescent="0.25">
      <c r="A89" s="4" t="s">
        <v>590</v>
      </c>
      <c r="B89" s="4" t="s">
        <v>962</v>
      </c>
      <c r="C89" s="4" t="s">
        <v>237</v>
      </c>
      <c r="D89" s="12">
        <v>81</v>
      </c>
      <c r="E89" s="12">
        <v>9</v>
      </c>
      <c r="F89" s="24">
        <v>572.54999999999995</v>
      </c>
      <c r="G89" s="13">
        <f t="shared" si="2"/>
        <v>46376.549999999996</v>
      </c>
      <c r="H89" s="14">
        <v>0.28000000000000003</v>
      </c>
      <c r="I89" s="13">
        <v>5474</v>
      </c>
    </row>
    <row r="90" spans="1:9" x14ac:dyDescent="0.25">
      <c r="A90" s="4" t="s">
        <v>591</v>
      </c>
      <c r="B90" s="4" t="s">
        <v>978</v>
      </c>
      <c r="C90" s="4" t="s">
        <v>237</v>
      </c>
      <c r="D90" s="12">
        <v>16</v>
      </c>
      <c r="E90" s="12">
        <v>7</v>
      </c>
      <c r="F90" s="24">
        <v>6237.65</v>
      </c>
      <c r="G90" s="13">
        <f t="shared" si="2"/>
        <v>99802.4</v>
      </c>
      <c r="H90" s="14">
        <v>0.59</v>
      </c>
      <c r="I90" s="13">
        <v>44849</v>
      </c>
    </row>
    <row r="91" spans="1:9" x14ac:dyDescent="0.25">
      <c r="A91" s="4" t="s">
        <v>592</v>
      </c>
      <c r="B91" s="4" t="s">
        <v>989</v>
      </c>
      <c r="C91" s="4" t="s">
        <v>32</v>
      </c>
      <c r="D91" s="12">
        <v>3287</v>
      </c>
      <c r="E91" s="12">
        <v>790</v>
      </c>
      <c r="F91" s="24">
        <v>5.48</v>
      </c>
      <c r="G91" s="13">
        <f t="shared" si="2"/>
        <v>18012.760000000002</v>
      </c>
      <c r="H91" s="14">
        <v>0.32</v>
      </c>
      <c r="I91" s="13">
        <v>4778</v>
      </c>
    </row>
    <row r="92" spans="1:9" x14ac:dyDescent="0.25">
      <c r="A92" s="4" t="s">
        <v>593</v>
      </c>
      <c r="B92" s="4" t="s">
        <v>987</v>
      </c>
      <c r="C92" s="4" t="s">
        <v>237</v>
      </c>
      <c r="D92" s="12">
        <v>81</v>
      </c>
      <c r="E92" s="12">
        <v>20</v>
      </c>
      <c r="F92" s="24">
        <v>1151.68</v>
      </c>
      <c r="G92" s="13">
        <f t="shared" si="2"/>
        <v>93286.080000000002</v>
      </c>
      <c r="H92" s="14">
        <v>0.43</v>
      </c>
      <c r="I92" s="13">
        <v>22907</v>
      </c>
    </row>
    <row r="93" spans="1:9" x14ac:dyDescent="0.25">
      <c r="A93" s="4" t="s">
        <v>594</v>
      </c>
      <c r="B93" s="4" t="s">
        <v>986</v>
      </c>
      <c r="C93" s="4" t="s">
        <v>237</v>
      </c>
      <c r="D93" s="12">
        <v>121</v>
      </c>
      <c r="E93" s="12">
        <v>30</v>
      </c>
      <c r="F93" s="24">
        <v>650.74</v>
      </c>
      <c r="G93" s="13">
        <f t="shared" si="2"/>
        <v>78739.540000000008</v>
      </c>
      <c r="H93" s="14">
        <v>0.39</v>
      </c>
      <c r="I93" s="13">
        <v>19351</v>
      </c>
    </row>
    <row r="94" spans="1:9" x14ac:dyDescent="0.25">
      <c r="A94" s="4" t="s">
        <v>595</v>
      </c>
      <c r="B94" s="4" t="s">
        <v>994</v>
      </c>
      <c r="C94" s="4" t="s">
        <v>237</v>
      </c>
      <c r="D94" s="12">
        <v>120</v>
      </c>
      <c r="E94" s="12">
        <v>53</v>
      </c>
      <c r="F94" s="24">
        <v>344.45</v>
      </c>
      <c r="G94" s="13">
        <f t="shared" si="2"/>
        <v>41334</v>
      </c>
      <c r="H94" s="14">
        <v>0.49</v>
      </c>
      <c r="I94" s="13">
        <v>18031</v>
      </c>
    </row>
    <row r="95" spans="1:9" x14ac:dyDescent="0.25">
      <c r="A95" s="4" t="s">
        <v>596</v>
      </c>
      <c r="B95" s="4" t="s">
        <v>964</v>
      </c>
      <c r="C95" s="4" t="s">
        <v>237</v>
      </c>
      <c r="D95" s="12">
        <v>13</v>
      </c>
      <c r="E95" s="12">
        <v>1</v>
      </c>
      <c r="F95" s="24">
        <v>4599.0200000000004</v>
      </c>
      <c r="G95" s="13">
        <f t="shared" si="2"/>
        <v>59787.260000000009</v>
      </c>
      <c r="H95" s="14">
        <v>0.23</v>
      </c>
      <c r="I95" s="13">
        <v>5192</v>
      </c>
    </row>
    <row r="96" spans="1:9" x14ac:dyDescent="0.25">
      <c r="A96" s="4" t="s">
        <v>597</v>
      </c>
      <c r="B96" s="4" t="s">
        <v>973</v>
      </c>
      <c r="C96" s="4" t="s">
        <v>32</v>
      </c>
      <c r="D96" s="12">
        <v>6171</v>
      </c>
      <c r="E96" s="12">
        <v>1214</v>
      </c>
      <c r="F96" s="24">
        <v>5</v>
      </c>
      <c r="G96" s="13">
        <f t="shared" si="2"/>
        <v>30855</v>
      </c>
      <c r="H96" s="14">
        <v>0.28999999999999998</v>
      </c>
      <c r="I96" s="13">
        <v>5815</v>
      </c>
    </row>
    <row r="97" spans="1:9" x14ac:dyDescent="0.25">
      <c r="A97" s="4" t="s">
        <v>598</v>
      </c>
      <c r="B97" s="4" t="s">
        <v>981</v>
      </c>
      <c r="C97" s="4" t="s">
        <v>237</v>
      </c>
      <c r="D97" s="12">
        <v>2</v>
      </c>
      <c r="E97" s="12">
        <v>0</v>
      </c>
      <c r="F97" s="24">
        <v>12343.74</v>
      </c>
      <c r="G97" s="13">
        <f t="shared" si="2"/>
        <v>24687.48</v>
      </c>
      <c r="H97" s="14">
        <v>0.11</v>
      </c>
      <c r="I97" s="13">
        <v>0</v>
      </c>
    </row>
    <row r="98" spans="1:9" x14ac:dyDescent="0.25">
      <c r="A98" s="4" t="s">
        <v>599</v>
      </c>
      <c r="B98" s="4" t="s">
        <v>979</v>
      </c>
      <c r="C98" s="4" t="s">
        <v>237</v>
      </c>
      <c r="D98" s="12">
        <v>3</v>
      </c>
      <c r="E98" s="12">
        <v>1</v>
      </c>
      <c r="F98" s="24">
        <v>11996.77</v>
      </c>
      <c r="G98" s="13">
        <f t="shared" si="2"/>
        <v>35990.31</v>
      </c>
      <c r="H98" s="14">
        <v>0.51</v>
      </c>
      <c r="I98" s="13">
        <v>12299</v>
      </c>
    </row>
    <row r="99" spans="1:9" x14ac:dyDescent="0.25">
      <c r="A99" s="4" t="s">
        <v>600</v>
      </c>
      <c r="B99" s="4" t="s">
        <v>963</v>
      </c>
      <c r="C99" s="4" t="s">
        <v>237</v>
      </c>
      <c r="D99" s="12">
        <v>38</v>
      </c>
      <c r="E99" s="12">
        <v>11</v>
      </c>
      <c r="F99" s="24">
        <v>1625.43</v>
      </c>
      <c r="G99" s="13">
        <f t="shared" si="2"/>
        <v>61766.340000000004</v>
      </c>
      <c r="H99" s="14">
        <v>0.49</v>
      </c>
      <c r="I99" s="13">
        <v>17772</v>
      </c>
    </row>
    <row r="100" spans="1:9" x14ac:dyDescent="0.25">
      <c r="A100" s="4" t="s">
        <v>601</v>
      </c>
      <c r="B100" s="4" t="s">
        <v>973</v>
      </c>
      <c r="C100" s="4" t="s">
        <v>32</v>
      </c>
      <c r="D100" s="12">
        <v>11080</v>
      </c>
      <c r="E100" s="12">
        <v>4613</v>
      </c>
      <c r="F100" s="24">
        <v>7.13</v>
      </c>
      <c r="G100" s="13">
        <f t="shared" si="2"/>
        <v>79000.399999999994</v>
      </c>
      <c r="H100" s="14">
        <v>0.53</v>
      </c>
      <c r="I100" s="13">
        <v>35106</v>
      </c>
    </row>
    <row r="101" spans="1:9" x14ac:dyDescent="0.25">
      <c r="A101" s="4" t="s">
        <v>602</v>
      </c>
      <c r="B101" s="4" t="s">
        <v>961</v>
      </c>
      <c r="C101" s="4" t="s">
        <v>32</v>
      </c>
      <c r="D101" s="12">
        <v>2059</v>
      </c>
      <c r="E101" s="12">
        <v>975</v>
      </c>
      <c r="F101" s="24">
        <v>10.15</v>
      </c>
      <c r="G101" s="13">
        <f t="shared" ref="G101:G132" si="3">D101*F101</f>
        <v>20898.850000000002</v>
      </c>
      <c r="H101" s="14">
        <v>0.64</v>
      </c>
      <c r="I101" s="13">
        <v>9633</v>
      </c>
    </row>
    <row r="102" spans="1:9" x14ac:dyDescent="0.25">
      <c r="A102" s="4" t="s">
        <v>603</v>
      </c>
      <c r="B102" s="4" t="s">
        <v>978</v>
      </c>
      <c r="C102" s="4" t="s">
        <v>237</v>
      </c>
      <c r="D102" s="12">
        <v>40</v>
      </c>
      <c r="E102" s="12">
        <v>19</v>
      </c>
      <c r="F102" s="24">
        <v>9340.69</v>
      </c>
      <c r="G102" s="13">
        <f t="shared" si="3"/>
        <v>373627.60000000003</v>
      </c>
      <c r="H102" s="14">
        <v>0.54</v>
      </c>
      <c r="I102" s="13">
        <v>179509</v>
      </c>
    </row>
    <row r="103" spans="1:9" x14ac:dyDescent="0.25">
      <c r="A103" s="4" t="s">
        <v>604</v>
      </c>
      <c r="B103" s="4" t="s">
        <v>980</v>
      </c>
      <c r="C103" s="4" t="s">
        <v>237</v>
      </c>
      <c r="D103" s="12">
        <v>2</v>
      </c>
      <c r="E103" s="12">
        <v>0</v>
      </c>
      <c r="F103" s="24">
        <v>6336.87</v>
      </c>
      <c r="G103" s="13">
        <f t="shared" si="3"/>
        <v>12673.74</v>
      </c>
      <c r="H103" s="14">
        <v>0.05</v>
      </c>
      <c r="I103" s="13">
        <v>0</v>
      </c>
    </row>
    <row r="104" spans="1:9" x14ac:dyDescent="0.25">
      <c r="A104" s="4" t="s">
        <v>605</v>
      </c>
      <c r="B104" s="4" t="s">
        <v>974</v>
      </c>
      <c r="C104" s="4" t="s">
        <v>237</v>
      </c>
      <c r="D104" s="12">
        <v>10</v>
      </c>
      <c r="E104" s="12">
        <v>1</v>
      </c>
      <c r="F104" s="24">
        <v>9728.08</v>
      </c>
      <c r="G104" s="13">
        <f t="shared" si="3"/>
        <v>97280.8</v>
      </c>
      <c r="H104" s="14">
        <v>0.28000000000000003</v>
      </c>
      <c r="I104" s="13">
        <v>10538</v>
      </c>
    </row>
    <row r="105" spans="1:9" x14ac:dyDescent="0.25">
      <c r="A105" s="4" t="s">
        <v>606</v>
      </c>
      <c r="B105" s="4" t="s">
        <v>987</v>
      </c>
      <c r="C105" s="4" t="s">
        <v>237</v>
      </c>
      <c r="D105" s="12">
        <v>39</v>
      </c>
      <c r="E105" s="12">
        <v>8</v>
      </c>
      <c r="F105" s="24">
        <v>940.41</v>
      </c>
      <c r="G105" s="13">
        <f t="shared" si="3"/>
        <v>36675.99</v>
      </c>
      <c r="H105" s="14">
        <v>0.3</v>
      </c>
      <c r="I105" s="13">
        <v>7922</v>
      </c>
    </row>
    <row r="106" spans="1:9" x14ac:dyDescent="0.25">
      <c r="A106" s="4" t="s">
        <v>607</v>
      </c>
      <c r="B106" s="4" t="s">
        <v>976</v>
      </c>
      <c r="C106" s="4" t="s">
        <v>32</v>
      </c>
      <c r="D106" s="12">
        <v>2957</v>
      </c>
      <c r="E106" s="12">
        <v>1018</v>
      </c>
      <c r="F106" s="24">
        <v>7.64</v>
      </c>
      <c r="G106" s="13">
        <f t="shared" si="3"/>
        <v>22591.48</v>
      </c>
      <c r="H106" s="14">
        <v>0.54</v>
      </c>
      <c r="I106" s="13">
        <v>7586</v>
      </c>
    </row>
    <row r="107" spans="1:9" x14ac:dyDescent="0.25">
      <c r="A107" s="4" t="s">
        <v>608</v>
      </c>
      <c r="B107" s="4" t="s">
        <v>995</v>
      </c>
      <c r="C107" s="4" t="s">
        <v>32</v>
      </c>
      <c r="D107" s="12">
        <v>13352</v>
      </c>
      <c r="E107" s="12">
        <v>2468</v>
      </c>
      <c r="F107" s="24">
        <v>6.81</v>
      </c>
      <c r="G107" s="13">
        <f t="shared" si="3"/>
        <v>90927.12</v>
      </c>
      <c r="H107" s="14">
        <v>0.23</v>
      </c>
      <c r="I107" s="13">
        <v>16683</v>
      </c>
    </row>
    <row r="108" spans="1:9" x14ac:dyDescent="0.25">
      <c r="A108" s="4" t="s">
        <v>609</v>
      </c>
      <c r="B108" s="4" t="s">
        <v>975</v>
      </c>
      <c r="C108" s="4" t="s">
        <v>32</v>
      </c>
      <c r="D108" s="12">
        <v>12008</v>
      </c>
      <c r="E108" s="12">
        <v>4958</v>
      </c>
      <c r="F108" s="24">
        <v>5.6</v>
      </c>
      <c r="G108" s="13">
        <f t="shared" si="3"/>
        <v>67244.800000000003</v>
      </c>
      <c r="H108" s="14">
        <v>0.59</v>
      </c>
      <c r="I108" s="13">
        <v>29373</v>
      </c>
    </row>
    <row r="109" spans="1:9" x14ac:dyDescent="0.25">
      <c r="A109" s="4" t="s">
        <v>610</v>
      </c>
      <c r="B109" s="4" t="s">
        <v>992</v>
      </c>
      <c r="C109" s="4" t="s">
        <v>237</v>
      </c>
      <c r="D109" s="12">
        <v>39</v>
      </c>
      <c r="E109" s="12">
        <v>15</v>
      </c>
      <c r="F109" s="24">
        <v>5495.87</v>
      </c>
      <c r="G109" s="13">
        <f t="shared" si="3"/>
        <v>214338.93</v>
      </c>
      <c r="H109" s="14">
        <v>0.43</v>
      </c>
      <c r="I109" s="13">
        <v>79237</v>
      </c>
    </row>
    <row r="110" spans="1:9" x14ac:dyDescent="0.25">
      <c r="A110" s="4" t="s">
        <v>611</v>
      </c>
      <c r="B110" s="4" t="s">
        <v>970</v>
      </c>
      <c r="C110" s="4" t="s">
        <v>237</v>
      </c>
      <c r="D110" s="12">
        <v>189</v>
      </c>
      <c r="E110" s="12">
        <v>77</v>
      </c>
      <c r="F110" s="24">
        <v>316.89</v>
      </c>
      <c r="G110" s="13">
        <f t="shared" si="3"/>
        <v>59892.21</v>
      </c>
      <c r="H110" s="14">
        <v>0.52</v>
      </c>
      <c r="I110" s="13">
        <v>25352</v>
      </c>
    </row>
    <row r="111" spans="1:9" x14ac:dyDescent="0.25">
      <c r="A111" s="4" t="s">
        <v>612</v>
      </c>
      <c r="B111" s="4" t="s">
        <v>988</v>
      </c>
      <c r="C111" s="4" t="s">
        <v>237</v>
      </c>
      <c r="D111" s="12">
        <v>35</v>
      </c>
      <c r="E111" s="12">
        <v>10</v>
      </c>
      <c r="F111" s="24">
        <v>6062.32</v>
      </c>
      <c r="G111" s="13">
        <f t="shared" si="3"/>
        <v>212181.19999999998</v>
      </c>
      <c r="H111" s="14">
        <v>0.35</v>
      </c>
      <c r="I111" s="13">
        <v>61902</v>
      </c>
    </row>
    <row r="112" spans="1:9" x14ac:dyDescent="0.25">
      <c r="A112" s="4" t="s">
        <v>613</v>
      </c>
      <c r="B112" s="4" t="s">
        <v>965</v>
      </c>
      <c r="C112" s="4" t="s">
        <v>237</v>
      </c>
      <c r="D112" s="12">
        <v>7</v>
      </c>
      <c r="E112" s="12">
        <v>3</v>
      </c>
      <c r="F112" s="24">
        <v>8475.5400000000009</v>
      </c>
      <c r="G112" s="13">
        <f t="shared" si="3"/>
        <v>59328.780000000006</v>
      </c>
      <c r="H112" s="14">
        <v>0.57999999999999996</v>
      </c>
      <c r="I112" s="13">
        <v>28362</v>
      </c>
    </row>
    <row r="113" spans="1:9" x14ac:dyDescent="0.25">
      <c r="A113" s="4" t="s">
        <v>614</v>
      </c>
      <c r="B113" s="4" t="s">
        <v>986</v>
      </c>
      <c r="C113" s="4" t="s">
        <v>237</v>
      </c>
      <c r="D113" s="12">
        <v>153</v>
      </c>
      <c r="E113" s="12">
        <v>65</v>
      </c>
      <c r="F113" s="24">
        <v>459.72</v>
      </c>
      <c r="G113" s="13">
        <f t="shared" si="3"/>
        <v>70337.16</v>
      </c>
      <c r="H113" s="14">
        <v>0.49</v>
      </c>
      <c r="I113" s="13">
        <v>28466</v>
      </c>
    </row>
    <row r="114" spans="1:9" x14ac:dyDescent="0.25">
      <c r="A114" s="4" t="s">
        <v>615</v>
      </c>
      <c r="B114" s="4" t="s">
        <v>977</v>
      </c>
      <c r="C114" s="4" t="s">
        <v>32</v>
      </c>
      <c r="D114" s="12">
        <v>9526</v>
      </c>
      <c r="E114" s="12">
        <v>4430</v>
      </c>
      <c r="F114" s="24">
        <v>6.93</v>
      </c>
      <c r="G114" s="13">
        <f t="shared" si="3"/>
        <v>66015.179999999993</v>
      </c>
      <c r="H114" s="14">
        <v>0.53</v>
      </c>
      <c r="I114" s="13">
        <v>29261</v>
      </c>
    </row>
    <row r="115" spans="1:9" x14ac:dyDescent="0.25">
      <c r="A115" s="4" t="s">
        <v>616</v>
      </c>
      <c r="B115" s="4" t="s">
        <v>963</v>
      </c>
      <c r="C115" s="4" t="s">
        <v>237</v>
      </c>
      <c r="D115" s="12">
        <v>57</v>
      </c>
      <c r="E115" s="12">
        <v>13</v>
      </c>
      <c r="F115" s="24">
        <v>1543.76</v>
      </c>
      <c r="G115" s="13">
        <f t="shared" si="3"/>
        <v>87994.319999999992</v>
      </c>
      <c r="H115" s="14">
        <v>0.35</v>
      </c>
      <c r="I115" s="13">
        <v>19877</v>
      </c>
    </row>
    <row r="116" spans="1:9" x14ac:dyDescent="0.25">
      <c r="A116" s="4" t="s">
        <v>617</v>
      </c>
      <c r="B116" s="4" t="s">
        <v>985</v>
      </c>
      <c r="C116" s="4" t="s">
        <v>237</v>
      </c>
      <c r="D116" s="12">
        <v>30</v>
      </c>
      <c r="E116" s="12">
        <v>7</v>
      </c>
      <c r="F116" s="24">
        <v>5776.61</v>
      </c>
      <c r="G116" s="13">
        <f t="shared" si="3"/>
        <v>173298.3</v>
      </c>
      <c r="H116" s="14">
        <v>0.39</v>
      </c>
      <c r="I116" s="13">
        <v>42582</v>
      </c>
    </row>
    <row r="117" spans="1:9" x14ac:dyDescent="0.25">
      <c r="A117" s="4" t="s">
        <v>618</v>
      </c>
      <c r="B117" s="4" t="s">
        <v>985</v>
      </c>
      <c r="C117" s="4" t="s">
        <v>237</v>
      </c>
      <c r="D117" s="12">
        <v>28</v>
      </c>
      <c r="E117" s="12">
        <v>8</v>
      </c>
      <c r="F117" s="24">
        <v>7232.03</v>
      </c>
      <c r="G117" s="13">
        <f t="shared" si="3"/>
        <v>202496.84</v>
      </c>
      <c r="H117" s="14">
        <v>0.39</v>
      </c>
      <c r="I117" s="13">
        <v>62835</v>
      </c>
    </row>
    <row r="118" spans="1:9" x14ac:dyDescent="0.25">
      <c r="A118" s="4" t="s">
        <v>619</v>
      </c>
      <c r="B118" s="4" t="s">
        <v>986</v>
      </c>
      <c r="C118" s="4" t="s">
        <v>237</v>
      </c>
      <c r="D118" s="12">
        <v>65</v>
      </c>
      <c r="E118" s="12">
        <v>17</v>
      </c>
      <c r="F118" s="24">
        <v>785.08</v>
      </c>
      <c r="G118" s="13">
        <f t="shared" si="3"/>
        <v>51030.200000000004</v>
      </c>
      <c r="H118" s="14">
        <v>0.4</v>
      </c>
      <c r="I118" s="13">
        <v>14613</v>
      </c>
    </row>
    <row r="119" spans="1:9" x14ac:dyDescent="0.25">
      <c r="B119" s="16" t="s">
        <v>879</v>
      </c>
      <c r="G119" s="8">
        <f>SUM(G5:G118)</f>
        <v>8328002.299999998</v>
      </c>
      <c r="I119" s="8">
        <f>SUM(I5:I118)</f>
        <v>2681817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9"/>
  <sheetViews>
    <sheetView showGridLines="0" zoomScaleNormal="100" workbookViewId="0"/>
  </sheetViews>
  <sheetFormatPr baseColWidth="10" defaultColWidth="8.7109375" defaultRowHeight="15" x14ac:dyDescent="0.25"/>
  <cols>
    <col min="1" max="1" width="15" customWidth="1"/>
    <col min="2" max="2" width="52" customWidth="1"/>
    <col min="3" max="9" width="15" customWidth="1"/>
  </cols>
  <sheetData>
    <row r="1" spans="1:9" ht="17.25" x14ac:dyDescent="0.3">
      <c r="A1" s="1" t="s">
        <v>996</v>
      </c>
    </row>
    <row r="2" spans="1:9" x14ac:dyDescent="0.25">
      <c r="A2" s="2" t="s">
        <v>810</v>
      </c>
    </row>
    <row r="4" spans="1:9" x14ac:dyDescent="0.25">
      <c r="A4" s="23" t="s">
        <v>811</v>
      </c>
      <c r="B4" s="23" t="s">
        <v>812</v>
      </c>
      <c r="C4" s="23" t="s">
        <v>813</v>
      </c>
      <c r="D4" s="23" t="s">
        <v>814</v>
      </c>
      <c r="E4" s="23" t="s">
        <v>815</v>
      </c>
      <c r="F4" s="23" t="s">
        <v>816</v>
      </c>
      <c r="G4" s="23" t="s">
        <v>817</v>
      </c>
      <c r="H4" s="23" t="s">
        <v>818</v>
      </c>
      <c r="I4" s="23" t="s">
        <v>819</v>
      </c>
    </row>
    <row r="5" spans="1:9" x14ac:dyDescent="0.25">
      <c r="A5" s="4" t="s">
        <v>620</v>
      </c>
      <c r="B5" s="4" t="s">
        <v>997</v>
      </c>
      <c r="C5" s="4" t="s">
        <v>237</v>
      </c>
      <c r="D5" s="12">
        <v>243</v>
      </c>
      <c r="E5" s="12">
        <v>181</v>
      </c>
      <c r="F5" s="24">
        <v>141.38999999999999</v>
      </c>
      <c r="G5" s="13">
        <f t="shared" ref="G5:G36" si="0">D5*F5</f>
        <v>34357.769999999997</v>
      </c>
      <c r="H5" s="14">
        <v>0.93</v>
      </c>
      <c r="I5" s="13">
        <v>24944</v>
      </c>
    </row>
    <row r="6" spans="1:9" x14ac:dyDescent="0.25">
      <c r="A6" s="4" t="s">
        <v>621</v>
      </c>
      <c r="B6" s="4" t="s">
        <v>998</v>
      </c>
      <c r="C6" s="4" t="s">
        <v>32</v>
      </c>
      <c r="D6" s="12">
        <v>2921</v>
      </c>
      <c r="E6" s="12">
        <v>1169</v>
      </c>
      <c r="F6" s="24">
        <v>4.58</v>
      </c>
      <c r="G6" s="13">
        <f t="shared" si="0"/>
        <v>13378.18</v>
      </c>
      <c r="H6" s="14">
        <v>0.49</v>
      </c>
      <c r="I6" s="13">
        <v>5267</v>
      </c>
    </row>
    <row r="7" spans="1:9" x14ac:dyDescent="0.25">
      <c r="A7" s="4" t="s">
        <v>622</v>
      </c>
      <c r="B7" s="4" t="s">
        <v>999</v>
      </c>
      <c r="C7" s="4" t="s">
        <v>237</v>
      </c>
      <c r="D7" s="12">
        <v>47</v>
      </c>
      <c r="E7" s="12">
        <v>21</v>
      </c>
      <c r="F7" s="24">
        <v>60.86</v>
      </c>
      <c r="G7" s="13">
        <f t="shared" si="0"/>
        <v>2860.42</v>
      </c>
      <c r="H7" s="14">
        <v>0.57999999999999996</v>
      </c>
      <c r="I7" s="13">
        <v>1344</v>
      </c>
    </row>
    <row r="8" spans="1:9" x14ac:dyDescent="0.25">
      <c r="A8" s="4" t="s">
        <v>623</v>
      </c>
      <c r="B8" s="4" t="s">
        <v>998</v>
      </c>
      <c r="C8" s="4" t="s">
        <v>32</v>
      </c>
      <c r="D8" s="12">
        <v>2897</v>
      </c>
      <c r="E8" s="12">
        <v>1965</v>
      </c>
      <c r="F8" s="24">
        <v>6.01</v>
      </c>
      <c r="G8" s="13">
        <f t="shared" si="0"/>
        <v>17410.97</v>
      </c>
      <c r="H8" s="14">
        <v>0.75</v>
      </c>
      <c r="I8" s="13">
        <v>12888</v>
      </c>
    </row>
    <row r="9" spans="1:9" x14ac:dyDescent="0.25">
      <c r="A9" s="4" t="s">
        <v>624</v>
      </c>
      <c r="B9" s="4" t="s">
        <v>1000</v>
      </c>
      <c r="C9" s="4" t="s">
        <v>32</v>
      </c>
      <c r="D9" s="12">
        <v>13935</v>
      </c>
      <c r="E9" s="12">
        <v>7458</v>
      </c>
      <c r="F9" s="24">
        <v>7.82</v>
      </c>
      <c r="G9" s="13">
        <f t="shared" si="0"/>
        <v>108971.7</v>
      </c>
      <c r="H9" s="14">
        <v>0.7</v>
      </c>
      <c r="I9" s="13">
        <v>57081</v>
      </c>
    </row>
    <row r="10" spans="1:9" x14ac:dyDescent="0.25">
      <c r="A10" s="4" t="s">
        <v>625</v>
      </c>
      <c r="B10" s="4" t="s">
        <v>1001</v>
      </c>
      <c r="C10" s="4" t="s">
        <v>32</v>
      </c>
      <c r="D10" s="12">
        <v>16394</v>
      </c>
      <c r="E10" s="12">
        <v>11190</v>
      </c>
      <c r="F10" s="24">
        <v>8.69</v>
      </c>
      <c r="G10" s="13">
        <f t="shared" si="0"/>
        <v>142463.85999999999</v>
      </c>
      <c r="H10" s="14">
        <v>0.87</v>
      </c>
      <c r="I10" s="13">
        <v>95821</v>
      </c>
    </row>
    <row r="11" spans="1:9" x14ac:dyDescent="0.25">
      <c r="A11" s="4" t="s">
        <v>626</v>
      </c>
      <c r="B11" s="4" t="s">
        <v>1002</v>
      </c>
      <c r="C11" s="4" t="s">
        <v>32</v>
      </c>
      <c r="D11" s="12">
        <v>10108</v>
      </c>
      <c r="E11" s="12">
        <v>10614</v>
      </c>
      <c r="F11" s="24">
        <v>5.07</v>
      </c>
      <c r="G11" s="13">
        <f t="shared" si="0"/>
        <v>51247.560000000005</v>
      </c>
      <c r="H11" s="14">
        <v>0.68</v>
      </c>
      <c r="I11" s="13">
        <v>28912</v>
      </c>
    </row>
    <row r="12" spans="1:9" x14ac:dyDescent="0.25">
      <c r="A12" s="4" t="s">
        <v>627</v>
      </c>
      <c r="B12" s="4" t="s">
        <v>1003</v>
      </c>
      <c r="C12" s="4" t="s">
        <v>32</v>
      </c>
      <c r="D12" s="12">
        <v>10354</v>
      </c>
      <c r="E12" s="12">
        <v>6109</v>
      </c>
      <c r="F12" s="24">
        <v>4</v>
      </c>
      <c r="G12" s="13">
        <f t="shared" si="0"/>
        <v>41416</v>
      </c>
      <c r="H12" s="14">
        <v>0.65</v>
      </c>
      <c r="I12" s="13">
        <v>25234</v>
      </c>
    </row>
    <row r="13" spans="1:9" x14ac:dyDescent="0.25">
      <c r="A13" s="4" t="s">
        <v>628</v>
      </c>
      <c r="B13" s="4" t="s">
        <v>1004</v>
      </c>
      <c r="C13" s="4" t="s">
        <v>32</v>
      </c>
      <c r="D13" s="12">
        <v>5101</v>
      </c>
      <c r="E13" s="12">
        <v>1534</v>
      </c>
      <c r="F13" s="24">
        <v>7.61</v>
      </c>
      <c r="G13" s="13">
        <f t="shared" si="0"/>
        <v>38818.61</v>
      </c>
      <c r="H13" s="14">
        <v>0.37</v>
      </c>
      <c r="I13" s="13">
        <v>11267</v>
      </c>
    </row>
    <row r="14" spans="1:9" x14ac:dyDescent="0.25">
      <c r="A14" s="4" t="s">
        <v>629</v>
      </c>
      <c r="B14" s="4" t="s">
        <v>1005</v>
      </c>
      <c r="C14" s="4" t="s">
        <v>237</v>
      </c>
      <c r="D14" s="12">
        <v>2</v>
      </c>
      <c r="E14" s="12">
        <v>1</v>
      </c>
      <c r="F14" s="24">
        <v>176793.05</v>
      </c>
      <c r="G14" s="13">
        <f t="shared" si="0"/>
        <v>353586.1</v>
      </c>
      <c r="H14" s="14">
        <v>0.59</v>
      </c>
      <c r="I14" s="13">
        <v>181821</v>
      </c>
    </row>
    <row r="15" spans="1:9" x14ac:dyDescent="0.25">
      <c r="A15" s="4" t="s">
        <v>630</v>
      </c>
      <c r="B15" s="4" t="s">
        <v>1006</v>
      </c>
      <c r="C15" s="4" t="s">
        <v>237</v>
      </c>
      <c r="D15" s="12">
        <v>1</v>
      </c>
      <c r="E15" s="12">
        <v>0</v>
      </c>
      <c r="F15" s="24">
        <v>165871.45000000001</v>
      </c>
      <c r="G15" s="13">
        <f t="shared" si="0"/>
        <v>165871.45000000001</v>
      </c>
      <c r="H15" s="14">
        <v>0.1</v>
      </c>
      <c r="I15" s="13">
        <v>0</v>
      </c>
    </row>
    <row r="16" spans="1:9" x14ac:dyDescent="0.25">
      <c r="A16" s="4" t="s">
        <v>631</v>
      </c>
      <c r="B16" s="4" t="s">
        <v>1007</v>
      </c>
      <c r="C16" s="4" t="s">
        <v>237</v>
      </c>
      <c r="D16" s="12">
        <v>77</v>
      </c>
      <c r="E16" s="12">
        <v>42</v>
      </c>
      <c r="F16" s="24">
        <v>83.29</v>
      </c>
      <c r="G16" s="13">
        <f t="shared" si="0"/>
        <v>6413.3300000000008</v>
      </c>
      <c r="H16" s="14">
        <v>0.64</v>
      </c>
      <c r="I16" s="13">
        <v>3953</v>
      </c>
    </row>
    <row r="17" spans="1:9" x14ac:dyDescent="0.25">
      <c r="A17" s="4" t="s">
        <v>632</v>
      </c>
      <c r="B17" s="4" t="s">
        <v>1008</v>
      </c>
      <c r="C17" s="4" t="s">
        <v>32</v>
      </c>
      <c r="D17" s="12">
        <v>6335</v>
      </c>
      <c r="E17" s="12">
        <v>3054</v>
      </c>
      <c r="F17" s="24">
        <v>10.199999999999999</v>
      </c>
      <c r="G17" s="13">
        <f t="shared" si="0"/>
        <v>64616.999999999993</v>
      </c>
      <c r="H17" s="14">
        <v>0.54</v>
      </c>
      <c r="I17" s="13">
        <v>32038</v>
      </c>
    </row>
    <row r="18" spans="1:9" x14ac:dyDescent="0.25">
      <c r="A18" s="4" t="s">
        <v>633</v>
      </c>
      <c r="B18" s="4" t="s">
        <v>1009</v>
      </c>
      <c r="C18" s="4" t="s">
        <v>32</v>
      </c>
      <c r="D18" s="12">
        <v>9835</v>
      </c>
      <c r="E18" s="12">
        <v>7042</v>
      </c>
      <c r="F18" s="24">
        <v>3.62</v>
      </c>
      <c r="G18" s="13">
        <f t="shared" si="0"/>
        <v>35602.700000000004</v>
      </c>
      <c r="H18" s="14">
        <v>0.89</v>
      </c>
      <c r="I18" s="13">
        <v>24833</v>
      </c>
    </row>
    <row r="19" spans="1:9" x14ac:dyDescent="0.25">
      <c r="A19" s="4" t="s">
        <v>634</v>
      </c>
      <c r="B19" s="4" t="s">
        <v>1010</v>
      </c>
      <c r="C19" s="4" t="s">
        <v>237</v>
      </c>
      <c r="D19" s="12">
        <v>2</v>
      </c>
      <c r="E19" s="12">
        <v>1</v>
      </c>
      <c r="F19" s="24">
        <v>77440.240000000005</v>
      </c>
      <c r="G19" s="13">
        <f t="shared" si="0"/>
        <v>154880.48000000001</v>
      </c>
      <c r="H19" s="14">
        <v>0.61</v>
      </c>
      <c r="I19" s="13">
        <v>77043</v>
      </c>
    </row>
    <row r="20" spans="1:9" x14ac:dyDescent="0.25">
      <c r="A20" s="4" t="s">
        <v>635</v>
      </c>
      <c r="B20" s="4" t="s">
        <v>1000</v>
      </c>
      <c r="C20" s="4" t="s">
        <v>32</v>
      </c>
      <c r="D20" s="12">
        <v>12700</v>
      </c>
      <c r="E20" s="12">
        <v>8553</v>
      </c>
      <c r="F20" s="24">
        <v>11.96</v>
      </c>
      <c r="G20" s="13">
        <f t="shared" si="0"/>
        <v>151892</v>
      </c>
      <c r="H20" s="14">
        <v>0.73</v>
      </c>
      <c r="I20" s="13">
        <v>96895</v>
      </c>
    </row>
    <row r="21" spans="1:9" x14ac:dyDescent="0.25">
      <c r="A21" s="4" t="s">
        <v>636</v>
      </c>
      <c r="B21" s="4" t="s">
        <v>998</v>
      </c>
      <c r="C21" s="4" t="s">
        <v>32</v>
      </c>
      <c r="D21" s="12">
        <v>3709</v>
      </c>
      <c r="E21" s="12">
        <v>1412</v>
      </c>
      <c r="F21" s="24">
        <v>6.45</v>
      </c>
      <c r="G21" s="13">
        <f t="shared" si="0"/>
        <v>23923.05</v>
      </c>
      <c r="H21" s="14">
        <v>0.48</v>
      </c>
      <c r="I21" s="13">
        <v>9192</v>
      </c>
    </row>
    <row r="22" spans="1:9" x14ac:dyDescent="0.25">
      <c r="A22" s="4" t="s">
        <v>637</v>
      </c>
      <c r="B22" s="4" t="s">
        <v>1011</v>
      </c>
      <c r="C22" s="4" t="s">
        <v>237</v>
      </c>
      <c r="D22" s="12">
        <v>177</v>
      </c>
      <c r="E22" s="12">
        <v>56</v>
      </c>
      <c r="F22" s="24">
        <v>95.34</v>
      </c>
      <c r="G22" s="13">
        <f t="shared" si="0"/>
        <v>16875.18</v>
      </c>
      <c r="H22" s="14">
        <v>0.36</v>
      </c>
      <c r="I22" s="13">
        <v>5701</v>
      </c>
    </row>
    <row r="23" spans="1:9" x14ac:dyDescent="0.25">
      <c r="A23" s="4" t="s">
        <v>638</v>
      </c>
      <c r="B23" s="4" t="s">
        <v>1012</v>
      </c>
      <c r="C23" s="4" t="s">
        <v>32</v>
      </c>
      <c r="D23" s="12">
        <v>4433</v>
      </c>
      <c r="E23" s="12">
        <v>2614</v>
      </c>
      <c r="F23" s="24">
        <v>5.28</v>
      </c>
      <c r="G23" s="13">
        <f t="shared" si="0"/>
        <v>23406.240000000002</v>
      </c>
      <c r="H23" s="14">
        <v>0.7</v>
      </c>
      <c r="I23" s="13">
        <v>13648</v>
      </c>
    </row>
    <row r="24" spans="1:9" x14ac:dyDescent="0.25">
      <c r="A24" s="4" t="s">
        <v>638</v>
      </c>
      <c r="B24" s="4" t="s">
        <v>1013</v>
      </c>
      <c r="C24" s="4" t="s">
        <v>237</v>
      </c>
      <c r="D24" s="12">
        <v>15</v>
      </c>
      <c r="E24" s="12">
        <v>10</v>
      </c>
      <c r="F24" s="24">
        <v>13250.47</v>
      </c>
      <c r="G24" s="13">
        <f t="shared" si="0"/>
        <v>198757.05</v>
      </c>
      <c r="H24" s="14">
        <v>0.77</v>
      </c>
      <c r="I24" s="13">
        <v>128302</v>
      </c>
    </row>
    <row r="25" spans="1:9" x14ac:dyDescent="0.25">
      <c r="A25" s="4" t="s">
        <v>639</v>
      </c>
      <c r="B25" s="4" t="s">
        <v>999</v>
      </c>
      <c r="C25" s="4" t="s">
        <v>237</v>
      </c>
      <c r="D25" s="12">
        <v>42</v>
      </c>
      <c r="E25" s="12">
        <v>30</v>
      </c>
      <c r="F25" s="24">
        <v>80.06</v>
      </c>
      <c r="G25" s="13">
        <f t="shared" si="0"/>
        <v>3362.52</v>
      </c>
      <c r="H25" s="14">
        <v>0.77</v>
      </c>
      <c r="I25" s="13">
        <v>2395</v>
      </c>
    </row>
    <row r="26" spans="1:9" x14ac:dyDescent="0.25">
      <c r="A26" s="4" t="s">
        <v>640</v>
      </c>
      <c r="B26" s="4" t="s">
        <v>1006</v>
      </c>
      <c r="C26" s="4" t="s">
        <v>237</v>
      </c>
      <c r="D26" s="12">
        <v>2</v>
      </c>
      <c r="E26" s="12">
        <v>1</v>
      </c>
      <c r="F26" s="24">
        <v>180337.57</v>
      </c>
      <c r="G26" s="13">
        <f t="shared" si="0"/>
        <v>360675.14</v>
      </c>
      <c r="H26" s="14">
        <v>0.66</v>
      </c>
      <c r="I26" s="13">
        <v>180566</v>
      </c>
    </row>
    <row r="27" spans="1:9" x14ac:dyDescent="0.25">
      <c r="A27" s="4" t="s">
        <v>641</v>
      </c>
      <c r="B27" s="4" t="s">
        <v>999</v>
      </c>
      <c r="C27" s="4" t="s">
        <v>237</v>
      </c>
      <c r="D27" s="12">
        <v>99</v>
      </c>
      <c r="E27" s="12">
        <v>47</v>
      </c>
      <c r="F27" s="24">
        <v>65.53</v>
      </c>
      <c r="G27" s="13">
        <f t="shared" si="0"/>
        <v>6487.47</v>
      </c>
      <c r="H27" s="14">
        <v>0.62</v>
      </c>
      <c r="I27" s="13">
        <v>3460</v>
      </c>
    </row>
    <row r="28" spans="1:9" x14ac:dyDescent="0.25">
      <c r="A28" s="4" t="s">
        <v>642</v>
      </c>
      <c r="B28" s="4" t="s">
        <v>1014</v>
      </c>
      <c r="C28" s="4" t="s">
        <v>32</v>
      </c>
      <c r="D28" s="12">
        <v>1075</v>
      </c>
      <c r="E28" s="12">
        <v>371</v>
      </c>
      <c r="F28" s="24">
        <v>10.93</v>
      </c>
      <c r="G28" s="13">
        <f t="shared" si="0"/>
        <v>11749.75</v>
      </c>
      <c r="H28" s="14">
        <v>0.39</v>
      </c>
      <c r="I28" s="13">
        <v>4608</v>
      </c>
    </row>
    <row r="29" spans="1:9" x14ac:dyDescent="0.25">
      <c r="A29" s="4" t="s">
        <v>643</v>
      </c>
      <c r="B29" s="4" t="s">
        <v>1015</v>
      </c>
      <c r="C29" s="4" t="s">
        <v>237</v>
      </c>
      <c r="D29" s="12">
        <v>20</v>
      </c>
      <c r="E29" s="12">
        <v>12</v>
      </c>
      <c r="F29" s="24">
        <v>8252.2000000000007</v>
      </c>
      <c r="G29" s="13">
        <f t="shared" si="0"/>
        <v>165044</v>
      </c>
      <c r="H29" s="14">
        <v>0.77</v>
      </c>
      <c r="I29" s="13">
        <v>107438</v>
      </c>
    </row>
    <row r="30" spans="1:9" x14ac:dyDescent="0.25">
      <c r="A30" s="4" t="s">
        <v>644</v>
      </c>
      <c r="B30" s="4" t="s">
        <v>1016</v>
      </c>
      <c r="C30" s="4" t="s">
        <v>237</v>
      </c>
      <c r="D30" s="12">
        <v>20</v>
      </c>
      <c r="E30" s="12">
        <v>9</v>
      </c>
      <c r="F30" s="24">
        <v>11334.18</v>
      </c>
      <c r="G30" s="13">
        <f t="shared" si="0"/>
        <v>226683.6</v>
      </c>
      <c r="H30" s="14">
        <v>0.53</v>
      </c>
      <c r="I30" s="13">
        <v>108302</v>
      </c>
    </row>
    <row r="31" spans="1:9" x14ac:dyDescent="0.25">
      <c r="A31" s="4" t="s">
        <v>645</v>
      </c>
      <c r="B31" s="4" t="s">
        <v>998</v>
      </c>
      <c r="C31" s="4" t="s">
        <v>32</v>
      </c>
      <c r="D31" s="12">
        <v>1007</v>
      </c>
      <c r="E31" s="12">
        <v>356</v>
      </c>
      <c r="F31" s="24">
        <v>5.62</v>
      </c>
      <c r="G31" s="13">
        <f t="shared" si="0"/>
        <v>5659.34</v>
      </c>
      <c r="H31" s="14">
        <v>0.43</v>
      </c>
      <c r="I31" s="13">
        <v>1958</v>
      </c>
    </row>
    <row r="32" spans="1:9" x14ac:dyDescent="0.25">
      <c r="A32" s="4" t="s">
        <v>646</v>
      </c>
      <c r="B32" s="4" t="s">
        <v>1017</v>
      </c>
      <c r="C32" s="4" t="s">
        <v>32</v>
      </c>
      <c r="D32" s="12">
        <v>4655</v>
      </c>
      <c r="E32" s="12">
        <v>1753</v>
      </c>
      <c r="F32" s="24">
        <v>8.64</v>
      </c>
      <c r="G32" s="13">
        <f t="shared" si="0"/>
        <v>40219.200000000004</v>
      </c>
      <c r="H32" s="14">
        <v>0.46</v>
      </c>
      <c r="I32" s="13">
        <v>16360</v>
      </c>
    </row>
    <row r="33" spans="1:9" x14ac:dyDescent="0.25">
      <c r="A33" s="4" t="s">
        <v>647</v>
      </c>
      <c r="B33" s="4" t="s">
        <v>998</v>
      </c>
      <c r="C33" s="4" t="s">
        <v>32</v>
      </c>
      <c r="D33" s="12">
        <v>4112</v>
      </c>
      <c r="E33" s="12">
        <v>2346</v>
      </c>
      <c r="F33" s="24">
        <v>4.71</v>
      </c>
      <c r="G33" s="13">
        <f t="shared" si="0"/>
        <v>19367.52</v>
      </c>
      <c r="H33" s="14">
        <v>0.66</v>
      </c>
      <c r="I33" s="13">
        <v>12456</v>
      </c>
    </row>
    <row r="34" spans="1:9" x14ac:dyDescent="0.25">
      <c r="A34" s="4" t="s">
        <v>648</v>
      </c>
      <c r="B34" s="4" t="s">
        <v>1014</v>
      </c>
      <c r="C34" s="4" t="s">
        <v>32</v>
      </c>
      <c r="D34" s="12">
        <v>3903</v>
      </c>
      <c r="E34" s="12">
        <v>1651</v>
      </c>
      <c r="F34" s="24">
        <v>7.76</v>
      </c>
      <c r="G34" s="13">
        <f t="shared" si="0"/>
        <v>30287.279999999999</v>
      </c>
      <c r="H34" s="14">
        <v>0.55000000000000004</v>
      </c>
      <c r="I34" s="13">
        <v>14448</v>
      </c>
    </row>
    <row r="35" spans="1:9" x14ac:dyDescent="0.25">
      <c r="A35" s="4" t="s">
        <v>649</v>
      </c>
      <c r="B35" s="4" t="s">
        <v>1015</v>
      </c>
      <c r="C35" s="4" t="s">
        <v>237</v>
      </c>
      <c r="D35" s="12">
        <v>19</v>
      </c>
      <c r="E35" s="12">
        <v>6</v>
      </c>
      <c r="F35" s="24">
        <v>7732.34</v>
      </c>
      <c r="G35" s="13">
        <f t="shared" si="0"/>
        <v>146914.46</v>
      </c>
      <c r="H35" s="14">
        <v>0.4</v>
      </c>
      <c r="I35" s="13">
        <v>43786</v>
      </c>
    </row>
    <row r="36" spans="1:9" x14ac:dyDescent="0.25">
      <c r="A36" s="4" t="s">
        <v>650</v>
      </c>
      <c r="B36" s="4" t="s">
        <v>999</v>
      </c>
      <c r="C36" s="4" t="s">
        <v>237</v>
      </c>
      <c r="D36" s="12">
        <v>204</v>
      </c>
      <c r="E36" s="12">
        <v>158</v>
      </c>
      <c r="F36" s="24">
        <v>64.12</v>
      </c>
      <c r="G36" s="13">
        <f t="shared" si="0"/>
        <v>13080.480000000001</v>
      </c>
      <c r="H36" s="14">
        <v>0.86</v>
      </c>
      <c r="I36" s="13">
        <v>10999</v>
      </c>
    </row>
    <row r="37" spans="1:9" x14ac:dyDescent="0.25">
      <c r="A37" s="4" t="s">
        <v>651</v>
      </c>
      <c r="B37" s="4" t="s">
        <v>1011</v>
      </c>
      <c r="C37" s="4" t="s">
        <v>237</v>
      </c>
      <c r="D37" s="12">
        <v>154</v>
      </c>
      <c r="E37" s="12">
        <v>89</v>
      </c>
      <c r="F37" s="24">
        <v>145.4</v>
      </c>
      <c r="G37" s="13">
        <f t="shared" ref="G37:G68" si="1">D37*F37</f>
        <v>22391.600000000002</v>
      </c>
      <c r="H37" s="14">
        <v>0.78</v>
      </c>
      <c r="I37" s="13">
        <v>13808</v>
      </c>
    </row>
    <row r="38" spans="1:9" x14ac:dyDescent="0.25">
      <c r="A38" s="4" t="s">
        <v>652</v>
      </c>
      <c r="B38" s="4" t="s">
        <v>1018</v>
      </c>
      <c r="C38" s="4" t="s">
        <v>237</v>
      </c>
      <c r="D38" s="12">
        <v>2</v>
      </c>
      <c r="E38" s="12">
        <v>2</v>
      </c>
      <c r="F38" s="24">
        <v>166346.78</v>
      </c>
      <c r="G38" s="13">
        <f t="shared" si="1"/>
        <v>332693.56</v>
      </c>
      <c r="H38" s="14">
        <v>1</v>
      </c>
      <c r="I38" s="13">
        <v>320327</v>
      </c>
    </row>
    <row r="39" spans="1:9" x14ac:dyDescent="0.25">
      <c r="A39" s="4" t="s">
        <v>653</v>
      </c>
      <c r="B39" s="4" t="s">
        <v>1012</v>
      </c>
      <c r="C39" s="4" t="s">
        <v>32</v>
      </c>
      <c r="D39" s="12">
        <v>5829</v>
      </c>
      <c r="E39" s="12">
        <v>3866</v>
      </c>
      <c r="F39" s="24">
        <v>5.64</v>
      </c>
      <c r="G39" s="13">
        <f t="shared" si="1"/>
        <v>32875.56</v>
      </c>
      <c r="H39" s="14">
        <v>0.79</v>
      </c>
      <c r="I39" s="13">
        <v>20748</v>
      </c>
    </row>
    <row r="40" spans="1:9" x14ac:dyDescent="0.25">
      <c r="A40" s="4" t="s">
        <v>654</v>
      </c>
      <c r="B40" s="4" t="s">
        <v>1009</v>
      </c>
      <c r="C40" s="4" t="s">
        <v>32</v>
      </c>
      <c r="D40" s="12">
        <v>2578</v>
      </c>
      <c r="E40" s="12">
        <v>1082</v>
      </c>
      <c r="F40" s="24">
        <v>6.97</v>
      </c>
      <c r="G40" s="13">
        <f t="shared" si="1"/>
        <v>17968.66</v>
      </c>
      <c r="H40" s="14">
        <v>0.47</v>
      </c>
      <c r="I40" s="13">
        <v>8072</v>
      </c>
    </row>
    <row r="41" spans="1:9" x14ac:dyDescent="0.25">
      <c r="A41" s="4" t="s">
        <v>655</v>
      </c>
      <c r="B41" s="4" t="s">
        <v>1018</v>
      </c>
      <c r="C41" s="4" t="s">
        <v>237</v>
      </c>
      <c r="D41" s="12">
        <v>1</v>
      </c>
      <c r="E41" s="12">
        <v>0</v>
      </c>
      <c r="F41" s="24">
        <v>131688.29999999999</v>
      </c>
      <c r="G41" s="13">
        <f t="shared" si="1"/>
        <v>131688.29999999999</v>
      </c>
      <c r="H41" s="14">
        <v>0.05</v>
      </c>
      <c r="I41" s="13">
        <v>0</v>
      </c>
    </row>
    <row r="42" spans="1:9" x14ac:dyDescent="0.25">
      <c r="A42" s="4" t="s">
        <v>656</v>
      </c>
      <c r="B42" s="4" t="s">
        <v>1003</v>
      </c>
      <c r="C42" s="4" t="s">
        <v>32</v>
      </c>
      <c r="D42" s="12">
        <v>4323</v>
      </c>
      <c r="E42" s="12">
        <v>3008</v>
      </c>
      <c r="F42" s="24">
        <v>4.0199999999999996</v>
      </c>
      <c r="G42" s="13">
        <f t="shared" si="1"/>
        <v>17378.46</v>
      </c>
      <c r="H42" s="14">
        <v>0.85</v>
      </c>
      <c r="I42" s="13">
        <v>12715</v>
      </c>
    </row>
    <row r="43" spans="1:9" x14ac:dyDescent="0.25">
      <c r="A43" s="4" t="s">
        <v>657</v>
      </c>
      <c r="B43" s="4" t="s">
        <v>1015</v>
      </c>
      <c r="C43" s="4" t="s">
        <v>237</v>
      </c>
      <c r="D43" s="12">
        <v>8</v>
      </c>
      <c r="E43" s="12">
        <v>3</v>
      </c>
      <c r="F43" s="24">
        <v>11087.66</v>
      </c>
      <c r="G43" s="13">
        <f t="shared" si="1"/>
        <v>88701.28</v>
      </c>
      <c r="H43" s="14">
        <v>0.53</v>
      </c>
      <c r="I43" s="13">
        <v>35724</v>
      </c>
    </row>
    <row r="44" spans="1:9" x14ac:dyDescent="0.25">
      <c r="A44" s="4" t="s">
        <v>658</v>
      </c>
      <c r="B44" s="4" t="s">
        <v>1019</v>
      </c>
      <c r="C44" s="4" t="s">
        <v>32</v>
      </c>
      <c r="D44" s="12">
        <v>1154</v>
      </c>
      <c r="E44" s="12">
        <v>396</v>
      </c>
      <c r="F44" s="24">
        <v>7.57</v>
      </c>
      <c r="G44" s="13">
        <f t="shared" si="1"/>
        <v>8735.7800000000007</v>
      </c>
      <c r="H44" s="14">
        <v>0.41</v>
      </c>
      <c r="I44" s="13">
        <v>2856</v>
      </c>
    </row>
    <row r="45" spans="1:9" x14ac:dyDescent="0.25">
      <c r="A45" s="4" t="s">
        <v>659</v>
      </c>
      <c r="B45" s="4" t="s">
        <v>1020</v>
      </c>
      <c r="C45" s="4" t="s">
        <v>32</v>
      </c>
      <c r="D45" s="12">
        <v>4306</v>
      </c>
      <c r="E45" s="12">
        <v>3103</v>
      </c>
      <c r="F45" s="24">
        <v>6.43</v>
      </c>
      <c r="G45" s="13">
        <f t="shared" si="1"/>
        <v>27687.579999999998</v>
      </c>
      <c r="H45" s="14">
        <v>0.92</v>
      </c>
      <c r="I45" s="13">
        <v>22615</v>
      </c>
    </row>
    <row r="46" spans="1:9" x14ac:dyDescent="0.25">
      <c r="A46" s="4" t="s">
        <v>660</v>
      </c>
      <c r="B46" s="4" t="s">
        <v>1011</v>
      </c>
      <c r="C46" s="4" t="s">
        <v>237</v>
      </c>
      <c r="D46" s="12">
        <v>168</v>
      </c>
      <c r="E46" s="12">
        <v>86</v>
      </c>
      <c r="F46" s="24">
        <v>93.04</v>
      </c>
      <c r="G46" s="13">
        <f t="shared" si="1"/>
        <v>15630.720000000001</v>
      </c>
      <c r="H46" s="14">
        <v>0.65</v>
      </c>
      <c r="I46" s="13">
        <v>7988</v>
      </c>
    </row>
    <row r="47" spans="1:9" x14ac:dyDescent="0.25">
      <c r="A47" s="4" t="s">
        <v>661</v>
      </c>
      <c r="B47" s="4" t="s">
        <v>1005</v>
      </c>
      <c r="C47" s="4" t="s">
        <v>237</v>
      </c>
      <c r="D47" s="12">
        <v>2</v>
      </c>
      <c r="E47" s="12">
        <v>1</v>
      </c>
      <c r="F47" s="24">
        <v>123851.61</v>
      </c>
      <c r="G47" s="13">
        <f t="shared" si="1"/>
        <v>247703.22</v>
      </c>
      <c r="H47" s="14">
        <v>0.63</v>
      </c>
      <c r="I47" s="13">
        <v>121885</v>
      </c>
    </row>
    <row r="48" spans="1:9" x14ac:dyDescent="0.25">
      <c r="A48" s="4" t="s">
        <v>662</v>
      </c>
      <c r="B48" s="4" t="s">
        <v>1021</v>
      </c>
      <c r="C48" s="4" t="s">
        <v>237</v>
      </c>
      <c r="D48" s="12">
        <v>2</v>
      </c>
      <c r="E48" s="12">
        <v>1</v>
      </c>
      <c r="F48" s="24">
        <v>106817.37</v>
      </c>
      <c r="G48" s="13">
        <f t="shared" si="1"/>
        <v>213634.74</v>
      </c>
      <c r="H48" s="14">
        <v>0.65</v>
      </c>
      <c r="I48" s="13">
        <v>104872</v>
      </c>
    </row>
    <row r="49" spans="1:9" x14ac:dyDescent="0.25">
      <c r="A49" s="4" t="s">
        <v>663</v>
      </c>
      <c r="B49" s="4" t="s">
        <v>1022</v>
      </c>
      <c r="C49" s="4" t="s">
        <v>237</v>
      </c>
      <c r="D49" s="12">
        <v>97</v>
      </c>
      <c r="E49" s="12">
        <v>40</v>
      </c>
      <c r="F49" s="24">
        <v>100.12</v>
      </c>
      <c r="G49" s="13">
        <f t="shared" si="1"/>
        <v>9711.6400000000012</v>
      </c>
      <c r="H49" s="14">
        <v>0.49</v>
      </c>
      <c r="I49" s="13">
        <v>4078</v>
      </c>
    </row>
    <row r="50" spans="1:9" x14ac:dyDescent="0.25">
      <c r="A50" s="4" t="s">
        <v>664</v>
      </c>
      <c r="B50" s="4" t="s">
        <v>1007</v>
      </c>
      <c r="C50" s="4" t="s">
        <v>237</v>
      </c>
      <c r="D50" s="12">
        <v>129</v>
      </c>
      <c r="E50" s="12">
        <v>89</v>
      </c>
      <c r="F50" s="24">
        <v>129.63999999999999</v>
      </c>
      <c r="G50" s="13">
        <f t="shared" si="1"/>
        <v>16723.559999999998</v>
      </c>
      <c r="H50" s="14">
        <v>0.81</v>
      </c>
      <c r="I50" s="13">
        <v>11051</v>
      </c>
    </row>
    <row r="51" spans="1:9" x14ac:dyDescent="0.25">
      <c r="A51" s="4" t="s">
        <v>665</v>
      </c>
      <c r="B51" s="4" t="s">
        <v>1001</v>
      </c>
      <c r="C51" s="4" t="s">
        <v>32</v>
      </c>
      <c r="D51" s="12">
        <v>13144</v>
      </c>
      <c r="E51" s="12">
        <v>9327</v>
      </c>
      <c r="F51" s="24">
        <v>8.8800000000000008</v>
      </c>
      <c r="G51" s="13">
        <f t="shared" si="1"/>
        <v>116718.72000000002</v>
      </c>
      <c r="H51" s="14">
        <v>0.88</v>
      </c>
      <c r="I51" s="13">
        <v>80642</v>
      </c>
    </row>
    <row r="52" spans="1:9" x14ac:dyDescent="0.25">
      <c r="A52" s="4" t="s">
        <v>666</v>
      </c>
      <c r="B52" s="4" t="s">
        <v>1023</v>
      </c>
      <c r="C52" s="4" t="s">
        <v>32</v>
      </c>
      <c r="D52" s="12">
        <v>6408</v>
      </c>
      <c r="E52" s="12">
        <v>2156</v>
      </c>
      <c r="F52" s="24">
        <v>4.72</v>
      </c>
      <c r="G52" s="13">
        <f t="shared" si="1"/>
        <v>30245.759999999998</v>
      </c>
      <c r="H52" s="14">
        <v>0.43</v>
      </c>
      <c r="I52" s="13">
        <v>10218</v>
      </c>
    </row>
    <row r="53" spans="1:9" x14ac:dyDescent="0.25">
      <c r="A53" s="4" t="s">
        <v>667</v>
      </c>
      <c r="B53" s="4" t="s">
        <v>1023</v>
      </c>
      <c r="C53" s="4" t="s">
        <v>32</v>
      </c>
      <c r="D53" s="12">
        <v>3786</v>
      </c>
      <c r="E53" s="12">
        <v>1321</v>
      </c>
      <c r="F53" s="24">
        <v>6.88</v>
      </c>
      <c r="G53" s="13">
        <f t="shared" si="1"/>
        <v>26047.68</v>
      </c>
      <c r="H53" s="14">
        <v>0.42</v>
      </c>
      <c r="I53" s="13">
        <v>10219</v>
      </c>
    </row>
    <row r="54" spans="1:9" x14ac:dyDescent="0.25">
      <c r="A54" s="4" t="s">
        <v>668</v>
      </c>
      <c r="B54" s="4" t="s">
        <v>1024</v>
      </c>
      <c r="C54" s="4" t="s">
        <v>32</v>
      </c>
      <c r="D54" s="12">
        <v>11112</v>
      </c>
      <c r="E54" s="12">
        <v>7628</v>
      </c>
      <c r="F54" s="24">
        <v>9.5500000000000007</v>
      </c>
      <c r="G54" s="13">
        <f t="shared" si="1"/>
        <v>106119.6</v>
      </c>
      <c r="H54" s="14">
        <v>0.75</v>
      </c>
      <c r="I54" s="13">
        <v>70038</v>
      </c>
    </row>
    <row r="55" spans="1:9" x14ac:dyDescent="0.25">
      <c r="A55" s="4" t="s">
        <v>669</v>
      </c>
      <c r="B55" s="4" t="s">
        <v>1018</v>
      </c>
      <c r="C55" s="4" t="s">
        <v>237</v>
      </c>
      <c r="D55" s="12">
        <v>1</v>
      </c>
      <c r="E55" s="12">
        <v>0</v>
      </c>
      <c r="F55" s="24">
        <v>138312.57</v>
      </c>
      <c r="G55" s="13">
        <f t="shared" si="1"/>
        <v>138312.57</v>
      </c>
      <c r="H55" s="14">
        <v>0.05</v>
      </c>
      <c r="I55" s="13">
        <v>0</v>
      </c>
    </row>
    <row r="56" spans="1:9" x14ac:dyDescent="0.25">
      <c r="A56" s="4" t="s">
        <v>670</v>
      </c>
      <c r="B56" s="4" t="s">
        <v>1011</v>
      </c>
      <c r="C56" s="4" t="s">
        <v>237</v>
      </c>
      <c r="D56" s="12">
        <v>180</v>
      </c>
      <c r="E56" s="12">
        <v>122</v>
      </c>
      <c r="F56" s="24">
        <v>144.72999999999999</v>
      </c>
      <c r="G56" s="13">
        <f t="shared" si="1"/>
        <v>26051.399999999998</v>
      </c>
      <c r="H56" s="14">
        <v>0.81</v>
      </c>
      <c r="I56" s="13">
        <v>19465</v>
      </c>
    </row>
    <row r="57" spans="1:9" x14ac:dyDescent="0.25">
      <c r="A57" s="4" t="s">
        <v>671</v>
      </c>
      <c r="B57" s="4" t="s">
        <v>1025</v>
      </c>
      <c r="C57" s="4" t="s">
        <v>32</v>
      </c>
      <c r="D57" s="12">
        <v>5848</v>
      </c>
      <c r="E57" s="12">
        <v>2289</v>
      </c>
      <c r="F57" s="24">
        <v>6.62</v>
      </c>
      <c r="G57" s="13">
        <f t="shared" si="1"/>
        <v>38713.760000000002</v>
      </c>
      <c r="H57" s="14">
        <v>0.48</v>
      </c>
      <c r="I57" s="13">
        <v>16203</v>
      </c>
    </row>
    <row r="58" spans="1:9" x14ac:dyDescent="0.25">
      <c r="A58" s="4" t="s">
        <v>672</v>
      </c>
      <c r="B58" s="4" t="s">
        <v>1026</v>
      </c>
      <c r="C58" s="4" t="s">
        <v>32</v>
      </c>
      <c r="D58" s="12">
        <v>6211</v>
      </c>
      <c r="E58" s="12">
        <v>4756</v>
      </c>
      <c r="F58" s="24">
        <v>5.7</v>
      </c>
      <c r="G58" s="13">
        <f t="shared" si="1"/>
        <v>35402.700000000004</v>
      </c>
      <c r="H58" s="14">
        <v>0.93</v>
      </c>
      <c r="I58" s="13">
        <v>27924</v>
      </c>
    </row>
    <row r="59" spans="1:9" x14ac:dyDescent="0.25">
      <c r="A59" s="4" t="s">
        <v>673</v>
      </c>
      <c r="B59" s="4" t="s">
        <v>1027</v>
      </c>
      <c r="C59" s="4" t="s">
        <v>32</v>
      </c>
      <c r="D59" s="12">
        <v>3602</v>
      </c>
      <c r="E59" s="12">
        <v>1139</v>
      </c>
      <c r="F59" s="24">
        <v>5.05</v>
      </c>
      <c r="G59" s="13">
        <f t="shared" si="1"/>
        <v>18190.099999999999</v>
      </c>
      <c r="H59" s="14">
        <v>0.48</v>
      </c>
      <c r="I59" s="13">
        <v>6128</v>
      </c>
    </row>
    <row r="60" spans="1:9" x14ac:dyDescent="0.25">
      <c r="A60" s="4" t="s">
        <v>674</v>
      </c>
      <c r="B60" s="4" t="s">
        <v>998</v>
      </c>
      <c r="C60" s="4" t="s">
        <v>32</v>
      </c>
      <c r="D60" s="12">
        <v>4044</v>
      </c>
      <c r="E60" s="12">
        <v>1513</v>
      </c>
      <c r="F60" s="24">
        <v>7.33</v>
      </c>
      <c r="G60" s="13">
        <f t="shared" si="1"/>
        <v>29642.52</v>
      </c>
      <c r="H60" s="14">
        <v>0.5</v>
      </c>
      <c r="I60" s="13">
        <v>11569</v>
      </c>
    </row>
    <row r="61" spans="1:9" x14ac:dyDescent="0.25">
      <c r="A61" s="4" t="s">
        <v>675</v>
      </c>
      <c r="B61" s="4" t="s">
        <v>1015</v>
      </c>
      <c r="C61" s="4" t="s">
        <v>237</v>
      </c>
      <c r="D61" s="12">
        <v>15</v>
      </c>
      <c r="E61" s="12">
        <v>6</v>
      </c>
      <c r="F61" s="24">
        <v>8636.07</v>
      </c>
      <c r="G61" s="13">
        <f t="shared" si="1"/>
        <v>129541.04999999999</v>
      </c>
      <c r="H61" s="14">
        <v>0.56999999999999995</v>
      </c>
      <c r="I61" s="13">
        <v>55402</v>
      </c>
    </row>
    <row r="62" spans="1:9" x14ac:dyDescent="0.25">
      <c r="A62" s="4" t="s">
        <v>676</v>
      </c>
      <c r="B62" s="4" t="s">
        <v>1028</v>
      </c>
      <c r="C62" s="4" t="s">
        <v>32</v>
      </c>
      <c r="D62" s="12">
        <v>3218</v>
      </c>
      <c r="E62" s="12">
        <v>2205</v>
      </c>
      <c r="F62" s="24">
        <v>11.28</v>
      </c>
      <c r="G62" s="13">
        <f t="shared" si="1"/>
        <v>36299.040000000001</v>
      </c>
      <c r="H62" s="14">
        <v>0.76</v>
      </c>
      <c r="I62" s="13">
        <v>26943</v>
      </c>
    </row>
    <row r="63" spans="1:9" x14ac:dyDescent="0.25">
      <c r="A63" s="4" t="s">
        <v>677</v>
      </c>
      <c r="B63" s="4" t="s">
        <v>1022</v>
      </c>
      <c r="C63" s="4" t="s">
        <v>237</v>
      </c>
      <c r="D63" s="12">
        <v>171</v>
      </c>
      <c r="E63" s="12">
        <v>130</v>
      </c>
      <c r="F63" s="24">
        <v>90.86</v>
      </c>
      <c r="G63" s="13">
        <f t="shared" si="1"/>
        <v>15537.06</v>
      </c>
      <c r="H63" s="14">
        <v>0.91</v>
      </c>
      <c r="I63" s="13">
        <v>11714</v>
      </c>
    </row>
    <row r="64" spans="1:9" x14ac:dyDescent="0.25">
      <c r="A64" s="4" t="s">
        <v>678</v>
      </c>
      <c r="B64" s="4" t="s">
        <v>1020</v>
      </c>
      <c r="C64" s="4" t="s">
        <v>32</v>
      </c>
      <c r="D64" s="12">
        <v>1860</v>
      </c>
      <c r="E64" s="12">
        <v>1217</v>
      </c>
      <c r="F64" s="24">
        <v>11.02</v>
      </c>
      <c r="G64" s="13">
        <f t="shared" si="1"/>
        <v>20497.2</v>
      </c>
      <c r="H64" s="14">
        <v>0.71</v>
      </c>
      <c r="I64" s="13">
        <v>13401</v>
      </c>
    </row>
    <row r="65" spans="1:9" x14ac:dyDescent="0.25">
      <c r="A65" s="4" t="s">
        <v>679</v>
      </c>
      <c r="B65" s="4" t="s">
        <v>1020</v>
      </c>
      <c r="C65" s="4" t="s">
        <v>32</v>
      </c>
      <c r="D65" s="12">
        <v>3850</v>
      </c>
      <c r="E65" s="12">
        <v>1160</v>
      </c>
      <c r="F65" s="24">
        <v>6.09</v>
      </c>
      <c r="G65" s="13">
        <f t="shared" si="1"/>
        <v>23446.5</v>
      </c>
      <c r="H65" s="14">
        <v>0.48</v>
      </c>
      <c r="I65" s="13">
        <v>7938</v>
      </c>
    </row>
    <row r="66" spans="1:9" x14ac:dyDescent="0.25">
      <c r="A66" s="4" t="s">
        <v>680</v>
      </c>
      <c r="B66" s="4" t="s">
        <v>1021</v>
      </c>
      <c r="C66" s="4" t="s">
        <v>237</v>
      </c>
      <c r="D66" s="12">
        <v>1</v>
      </c>
      <c r="E66" s="12">
        <v>0</v>
      </c>
      <c r="F66" s="24">
        <v>84718.55</v>
      </c>
      <c r="G66" s="13">
        <f t="shared" si="1"/>
        <v>84718.55</v>
      </c>
      <c r="H66" s="14">
        <v>0.12</v>
      </c>
      <c r="I66" s="13">
        <v>0</v>
      </c>
    </row>
    <row r="67" spans="1:9" x14ac:dyDescent="0.25">
      <c r="A67" s="4" t="s">
        <v>681</v>
      </c>
      <c r="B67" s="4" t="s">
        <v>1016</v>
      </c>
      <c r="C67" s="4" t="s">
        <v>237</v>
      </c>
      <c r="D67" s="12">
        <v>15</v>
      </c>
      <c r="E67" s="12">
        <v>7</v>
      </c>
      <c r="F67" s="24">
        <v>10058.86</v>
      </c>
      <c r="G67" s="13">
        <f t="shared" si="1"/>
        <v>150882.90000000002</v>
      </c>
      <c r="H67" s="14">
        <v>0.52</v>
      </c>
      <c r="I67" s="13">
        <v>77284</v>
      </c>
    </row>
    <row r="68" spans="1:9" x14ac:dyDescent="0.25">
      <c r="A68" s="4" t="s">
        <v>682</v>
      </c>
      <c r="B68" s="4" t="s">
        <v>999</v>
      </c>
      <c r="C68" s="4" t="s">
        <v>237</v>
      </c>
      <c r="D68" s="12">
        <v>53</v>
      </c>
      <c r="E68" s="12">
        <v>32</v>
      </c>
      <c r="F68" s="24">
        <v>67.53</v>
      </c>
      <c r="G68" s="13">
        <f t="shared" si="1"/>
        <v>3579.09</v>
      </c>
      <c r="H68" s="14">
        <v>0.65</v>
      </c>
      <c r="I68" s="13">
        <v>2305</v>
      </c>
    </row>
    <row r="69" spans="1:9" x14ac:dyDescent="0.25">
      <c r="A69" s="4" t="s">
        <v>683</v>
      </c>
      <c r="B69" s="4" t="s">
        <v>1016</v>
      </c>
      <c r="C69" s="4" t="s">
        <v>237</v>
      </c>
      <c r="D69" s="12">
        <v>17</v>
      </c>
      <c r="E69" s="12">
        <v>12</v>
      </c>
      <c r="F69" s="24">
        <v>11629.53</v>
      </c>
      <c r="G69" s="13">
        <f t="shared" ref="G69:G100" si="2">D69*F69</f>
        <v>197702.01</v>
      </c>
      <c r="H69" s="14">
        <v>0.75</v>
      </c>
      <c r="I69" s="13">
        <v>136900</v>
      </c>
    </row>
    <row r="70" spans="1:9" x14ac:dyDescent="0.25">
      <c r="A70" s="4" t="s">
        <v>684</v>
      </c>
      <c r="B70" s="4" t="s">
        <v>1029</v>
      </c>
      <c r="C70" s="4" t="s">
        <v>237</v>
      </c>
      <c r="D70" s="12">
        <v>18</v>
      </c>
      <c r="E70" s="12">
        <v>9</v>
      </c>
      <c r="F70" s="24">
        <v>6923.57</v>
      </c>
      <c r="G70" s="13">
        <f t="shared" si="2"/>
        <v>124624.26</v>
      </c>
      <c r="H70" s="14">
        <v>0.61</v>
      </c>
      <c r="I70" s="13">
        <v>60246</v>
      </c>
    </row>
    <row r="71" spans="1:9" x14ac:dyDescent="0.25">
      <c r="A71" s="4" t="s">
        <v>685</v>
      </c>
      <c r="B71" s="4" t="s">
        <v>1030</v>
      </c>
      <c r="C71" s="4" t="s">
        <v>237</v>
      </c>
      <c r="D71" s="12">
        <v>15</v>
      </c>
      <c r="E71" s="12">
        <v>9</v>
      </c>
      <c r="F71" s="24">
        <v>9749.0400000000009</v>
      </c>
      <c r="G71" s="13">
        <f t="shared" si="2"/>
        <v>146235.6</v>
      </c>
      <c r="H71" s="14">
        <v>0.8</v>
      </c>
      <c r="I71" s="13">
        <v>83417</v>
      </c>
    </row>
    <row r="72" spans="1:9" x14ac:dyDescent="0.25">
      <c r="A72" s="4" t="s">
        <v>686</v>
      </c>
      <c r="B72" s="4" t="s">
        <v>1031</v>
      </c>
      <c r="C72" s="4" t="s">
        <v>32</v>
      </c>
      <c r="D72" s="12">
        <v>877</v>
      </c>
      <c r="E72" s="12">
        <v>519</v>
      </c>
      <c r="F72" s="24">
        <v>9.56</v>
      </c>
      <c r="G72" s="13">
        <f t="shared" si="2"/>
        <v>8384.1200000000008</v>
      </c>
      <c r="H72" s="14">
        <v>0.76</v>
      </c>
      <c r="I72" s="13">
        <v>4784</v>
      </c>
    </row>
    <row r="73" spans="1:9" x14ac:dyDescent="0.25">
      <c r="A73" s="4" t="s">
        <v>687</v>
      </c>
      <c r="B73" s="4" t="s">
        <v>1003</v>
      </c>
      <c r="C73" s="4" t="s">
        <v>32</v>
      </c>
      <c r="D73" s="12">
        <v>8081</v>
      </c>
      <c r="E73" s="12">
        <v>4414</v>
      </c>
      <c r="F73" s="24">
        <v>5.5</v>
      </c>
      <c r="G73" s="13">
        <f t="shared" si="2"/>
        <v>44445.5</v>
      </c>
      <c r="H73" s="14">
        <v>0.71</v>
      </c>
      <c r="I73" s="13">
        <v>24832</v>
      </c>
    </row>
    <row r="74" spans="1:9" x14ac:dyDescent="0.25">
      <c r="A74" s="4" t="s">
        <v>688</v>
      </c>
      <c r="B74" s="4" t="s">
        <v>1021</v>
      </c>
      <c r="C74" s="4" t="s">
        <v>237</v>
      </c>
      <c r="D74" s="12">
        <v>2</v>
      </c>
      <c r="E74" s="12">
        <v>1</v>
      </c>
      <c r="F74" s="24">
        <v>157060.9</v>
      </c>
      <c r="G74" s="13">
        <f t="shared" si="2"/>
        <v>314121.8</v>
      </c>
      <c r="H74" s="14">
        <v>0.57999999999999996</v>
      </c>
      <c r="I74" s="13">
        <v>150442</v>
      </c>
    </row>
    <row r="75" spans="1:9" x14ac:dyDescent="0.25">
      <c r="A75" s="4" t="s">
        <v>689</v>
      </c>
      <c r="B75" s="4" t="s">
        <v>1008</v>
      </c>
      <c r="C75" s="4" t="s">
        <v>32</v>
      </c>
      <c r="D75" s="12">
        <v>3475</v>
      </c>
      <c r="E75" s="12">
        <v>2248</v>
      </c>
      <c r="F75" s="24">
        <v>9.74</v>
      </c>
      <c r="G75" s="13">
        <f t="shared" si="2"/>
        <v>33846.5</v>
      </c>
      <c r="H75" s="14">
        <v>0.74</v>
      </c>
      <c r="I75" s="13">
        <v>21406</v>
      </c>
    </row>
    <row r="76" spans="1:9" x14ac:dyDescent="0.25">
      <c r="A76" s="4" t="s">
        <v>690</v>
      </c>
      <c r="B76" s="4" t="s">
        <v>1026</v>
      </c>
      <c r="C76" s="4" t="s">
        <v>32</v>
      </c>
      <c r="D76" s="12">
        <v>1126</v>
      </c>
      <c r="E76" s="12">
        <v>368</v>
      </c>
      <c r="F76" s="24">
        <v>4.2</v>
      </c>
      <c r="G76" s="13">
        <f t="shared" si="2"/>
        <v>4729.2</v>
      </c>
      <c r="H76" s="14">
        <v>0.44</v>
      </c>
      <c r="I76" s="13">
        <v>1498</v>
      </c>
    </row>
    <row r="77" spans="1:9" x14ac:dyDescent="0.25">
      <c r="A77" s="4" t="s">
        <v>691</v>
      </c>
      <c r="B77" s="4" t="s">
        <v>1014</v>
      </c>
      <c r="C77" s="4" t="s">
        <v>32</v>
      </c>
      <c r="D77" s="12">
        <v>2566</v>
      </c>
      <c r="E77" s="12">
        <v>1781</v>
      </c>
      <c r="F77" s="24">
        <v>8.9600000000000009</v>
      </c>
      <c r="G77" s="13">
        <f t="shared" si="2"/>
        <v>22991.360000000001</v>
      </c>
      <c r="H77" s="14">
        <v>0.84</v>
      </c>
      <c r="I77" s="13">
        <v>15108</v>
      </c>
    </row>
    <row r="78" spans="1:9" x14ac:dyDescent="0.25">
      <c r="A78" s="4" t="s">
        <v>692</v>
      </c>
      <c r="B78" s="4" t="s">
        <v>1028</v>
      </c>
      <c r="C78" s="4" t="s">
        <v>32</v>
      </c>
      <c r="D78" s="12">
        <v>2437</v>
      </c>
      <c r="E78" s="12">
        <v>932</v>
      </c>
      <c r="F78" s="24">
        <v>9.8000000000000007</v>
      </c>
      <c r="G78" s="13">
        <f t="shared" si="2"/>
        <v>23882.600000000002</v>
      </c>
      <c r="H78" s="14">
        <v>0.48</v>
      </c>
      <c r="I78" s="13">
        <v>8696</v>
      </c>
    </row>
    <row r="79" spans="1:9" x14ac:dyDescent="0.25">
      <c r="A79" s="4" t="s">
        <v>693</v>
      </c>
      <c r="B79" s="4" t="s">
        <v>1031</v>
      </c>
      <c r="C79" s="4" t="s">
        <v>32</v>
      </c>
      <c r="D79" s="12">
        <v>1248</v>
      </c>
      <c r="E79" s="12">
        <v>774</v>
      </c>
      <c r="F79" s="24">
        <v>8.8800000000000008</v>
      </c>
      <c r="G79" s="13">
        <f t="shared" si="2"/>
        <v>11082.240000000002</v>
      </c>
      <c r="H79" s="14">
        <v>0.81</v>
      </c>
      <c r="I79" s="13">
        <v>7125</v>
      </c>
    </row>
    <row r="80" spans="1:9" x14ac:dyDescent="0.25">
      <c r="A80" s="4" t="s">
        <v>694</v>
      </c>
      <c r="B80" s="4" t="s">
        <v>1029</v>
      </c>
      <c r="C80" s="4" t="s">
        <v>237</v>
      </c>
      <c r="D80" s="12">
        <v>7</v>
      </c>
      <c r="E80" s="12">
        <v>4</v>
      </c>
      <c r="F80" s="24">
        <v>14294.56</v>
      </c>
      <c r="G80" s="13">
        <f t="shared" si="2"/>
        <v>100061.92</v>
      </c>
      <c r="H80" s="14">
        <v>0.73</v>
      </c>
      <c r="I80" s="13">
        <v>59368</v>
      </c>
    </row>
    <row r="81" spans="1:9" x14ac:dyDescent="0.25">
      <c r="A81" s="4" t="s">
        <v>695</v>
      </c>
      <c r="B81" s="4" t="s">
        <v>1020</v>
      </c>
      <c r="C81" s="4" t="s">
        <v>32</v>
      </c>
      <c r="D81" s="12">
        <v>1992</v>
      </c>
      <c r="E81" s="12">
        <v>1189</v>
      </c>
      <c r="F81" s="24">
        <v>7.56</v>
      </c>
      <c r="G81" s="13">
        <f t="shared" si="2"/>
        <v>15059.519999999999</v>
      </c>
      <c r="H81" s="14">
        <v>0.74</v>
      </c>
      <c r="I81" s="13">
        <v>8858</v>
      </c>
    </row>
    <row r="82" spans="1:9" x14ac:dyDescent="0.25">
      <c r="A82" s="4" t="s">
        <v>696</v>
      </c>
      <c r="B82" s="4" t="s">
        <v>1004</v>
      </c>
      <c r="C82" s="4" t="s">
        <v>32</v>
      </c>
      <c r="D82" s="12">
        <v>1049</v>
      </c>
      <c r="E82" s="12">
        <v>646</v>
      </c>
      <c r="F82" s="24">
        <v>4.53</v>
      </c>
      <c r="G82" s="13">
        <f t="shared" si="2"/>
        <v>4751.97</v>
      </c>
      <c r="H82" s="14">
        <v>0.67</v>
      </c>
      <c r="I82" s="13">
        <v>2839</v>
      </c>
    </row>
    <row r="83" spans="1:9" x14ac:dyDescent="0.25">
      <c r="A83" s="4" t="s">
        <v>697</v>
      </c>
      <c r="B83" s="4" t="s">
        <v>1021</v>
      </c>
      <c r="C83" s="4" t="s">
        <v>237</v>
      </c>
      <c r="D83" s="12">
        <v>2</v>
      </c>
      <c r="E83" s="12">
        <v>1</v>
      </c>
      <c r="F83" s="24">
        <v>85419.15</v>
      </c>
      <c r="G83" s="13">
        <f t="shared" si="2"/>
        <v>170838.3</v>
      </c>
      <c r="H83" s="14">
        <v>0.67</v>
      </c>
      <c r="I83" s="13">
        <v>84465</v>
      </c>
    </row>
    <row r="84" spans="1:9" x14ac:dyDescent="0.25">
      <c r="A84" s="4" t="s">
        <v>698</v>
      </c>
      <c r="B84" s="4" t="s">
        <v>1032</v>
      </c>
      <c r="C84" s="4" t="s">
        <v>237</v>
      </c>
      <c r="D84" s="12">
        <v>2</v>
      </c>
      <c r="E84" s="12">
        <v>1</v>
      </c>
      <c r="F84" s="24">
        <v>134649.99</v>
      </c>
      <c r="G84" s="13">
        <f t="shared" si="2"/>
        <v>269299.98</v>
      </c>
      <c r="H84" s="14">
        <v>0.68</v>
      </c>
      <c r="I84" s="13">
        <v>142492</v>
      </c>
    </row>
    <row r="85" spans="1:9" x14ac:dyDescent="0.25">
      <c r="A85" s="4" t="s">
        <v>699</v>
      </c>
      <c r="B85" s="4" t="s">
        <v>1013</v>
      </c>
      <c r="C85" s="4" t="s">
        <v>237</v>
      </c>
      <c r="D85" s="12">
        <v>4</v>
      </c>
      <c r="E85" s="12">
        <v>2</v>
      </c>
      <c r="F85" s="24">
        <v>8095.01</v>
      </c>
      <c r="G85" s="13">
        <f t="shared" si="2"/>
        <v>32380.04</v>
      </c>
      <c r="H85" s="14">
        <v>0.63</v>
      </c>
      <c r="I85" s="13">
        <v>18160</v>
      </c>
    </row>
    <row r="86" spans="1:9" x14ac:dyDescent="0.25">
      <c r="A86" s="4" t="s">
        <v>700</v>
      </c>
      <c r="B86" s="4" t="s">
        <v>1017</v>
      </c>
      <c r="C86" s="4" t="s">
        <v>32</v>
      </c>
      <c r="D86" s="12">
        <v>3914</v>
      </c>
      <c r="E86" s="12">
        <v>2273</v>
      </c>
      <c r="F86" s="24">
        <v>10.32</v>
      </c>
      <c r="G86" s="13">
        <f t="shared" si="2"/>
        <v>40392.480000000003</v>
      </c>
      <c r="H86" s="14">
        <v>0.76</v>
      </c>
      <c r="I86" s="13">
        <v>26026</v>
      </c>
    </row>
    <row r="87" spans="1:9" x14ac:dyDescent="0.25">
      <c r="A87" s="4" t="s">
        <v>701</v>
      </c>
      <c r="B87" s="4" t="s">
        <v>1005</v>
      </c>
      <c r="C87" s="4" t="s">
        <v>237</v>
      </c>
      <c r="D87" s="12">
        <v>2</v>
      </c>
      <c r="E87" s="12">
        <v>1</v>
      </c>
      <c r="F87" s="24">
        <v>97529.87</v>
      </c>
      <c r="G87" s="13">
        <f t="shared" si="2"/>
        <v>195059.74</v>
      </c>
      <c r="H87" s="14">
        <v>0.69</v>
      </c>
      <c r="I87" s="13">
        <v>93816</v>
      </c>
    </row>
    <row r="88" spans="1:9" x14ac:dyDescent="0.25">
      <c r="A88" s="4" t="s">
        <v>702</v>
      </c>
      <c r="B88" s="4" t="s">
        <v>1033</v>
      </c>
      <c r="C88" s="4" t="s">
        <v>32</v>
      </c>
      <c r="D88" s="12">
        <v>10295</v>
      </c>
      <c r="E88" s="12">
        <v>7667</v>
      </c>
      <c r="F88" s="24">
        <v>5.92</v>
      </c>
      <c r="G88" s="13">
        <f t="shared" si="2"/>
        <v>60946.400000000001</v>
      </c>
      <c r="H88" s="14">
        <v>0.79</v>
      </c>
      <c r="I88" s="13">
        <v>43536</v>
      </c>
    </row>
    <row r="89" spans="1:9" x14ac:dyDescent="0.25">
      <c r="A89" s="4" t="s">
        <v>703</v>
      </c>
      <c r="B89" s="4" t="s">
        <v>1007</v>
      </c>
      <c r="C89" s="4" t="s">
        <v>237</v>
      </c>
      <c r="D89" s="12">
        <v>290</v>
      </c>
      <c r="E89" s="12">
        <v>183</v>
      </c>
      <c r="F89" s="24">
        <v>124.98</v>
      </c>
      <c r="G89" s="13">
        <f t="shared" si="2"/>
        <v>36244.200000000004</v>
      </c>
      <c r="H89" s="14">
        <v>0.73</v>
      </c>
      <c r="I89" s="13">
        <v>25855</v>
      </c>
    </row>
    <row r="90" spans="1:9" x14ac:dyDescent="0.25">
      <c r="A90" s="4" t="s">
        <v>704</v>
      </c>
      <c r="B90" s="4" t="s">
        <v>1010</v>
      </c>
      <c r="C90" s="4" t="s">
        <v>237</v>
      </c>
      <c r="D90" s="12">
        <v>2</v>
      </c>
      <c r="E90" s="12">
        <v>1</v>
      </c>
      <c r="F90" s="24">
        <v>97347.12</v>
      </c>
      <c r="G90" s="13">
        <f t="shared" si="2"/>
        <v>194694.24</v>
      </c>
      <c r="H90" s="14">
        <v>0.66</v>
      </c>
      <c r="I90" s="13">
        <v>102838</v>
      </c>
    </row>
    <row r="91" spans="1:9" x14ac:dyDescent="0.25">
      <c r="A91" s="4" t="s">
        <v>705</v>
      </c>
      <c r="B91" s="4" t="s">
        <v>1023</v>
      </c>
      <c r="C91" s="4" t="s">
        <v>32</v>
      </c>
      <c r="D91" s="12">
        <v>6438</v>
      </c>
      <c r="E91" s="12">
        <v>3034</v>
      </c>
      <c r="F91" s="24">
        <v>4.01</v>
      </c>
      <c r="G91" s="13">
        <f t="shared" si="2"/>
        <v>25816.379999999997</v>
      </c>
      <c r="H91" s="14">
        <v>0.56999999999999995</v>
      </c>
      <c r="I91" s="13">
        <v>12280</v>
      </c>
    </row>
    <row r="92" spans="1:9" x14ac:dyDescent="0.25">
      <c r="A92" s="4" t="s">
        <v>706</v>
      </c>
      <c r="B92" s="4" t="s">
        <v>1024</v>
      </c>
      <c r="C92" s="4" t="s">
        <v>32</v>
      </c>
      <c r="D92" s="12">
        <v>10733</v>
      </c>
      <c r="E92" s="12">
        <v>8308</v>
      </c>
      <c r="F92" s="24">
        <v>8.2799999999999994</v>
      </c>
      <c r="G92" s="13">
        <f t="shared" si="2"/>
        <v>88869.239999999991</v>
      </c>
      <c r="H92" s="14">
        <v>0.85</v>
      </c>
      <c r="I92" s="13">
        <v>70946</v>
      </c>
    </row>
    <row r="93" spans="1:9" x14ac:dyDescent="0.25">
      <c r="A93" s="4" t="s">
        <v>707</v>
      </c>
      <c r="B93" s="4" t="s">
        <v>1020</v>
      </c>
      <c r="C93" s="4" t="s">
        <v>32</v>
      </c>
      <c r="D93" s="12">
        <v>3450</v>
      </c>
      <c r="E93" s="12">
        <v>2194</v>
      </c>
      <c r="F93" s="24">
        <v>5.93</v>
      </c>
      <c r="G93" s="13">
        <f t="shared" si="2"/>
        <v>20458.5</v>
      </c>
      <c r="H93" s="14">
        <v>0.8</v>
      </c>
      <c r="I93" s="13">
        <v>14627</v>
      </c>
    </row>
    <row r="94" spans="1:9" x14ac:dyDescent="0.25">
      <c r="A94" s="4" t="s">
        <v>708</v>
      </c>
      <c r="B94" s="4" t="s">
        <v>1031</v>
      </c>
      <c r="C94" s="4" t="s">
        <v>32</v>
      </c>
      <c r="D94" s="12">
        <v>4397</v>
      </c>
      <c r="E94" s="12">
        <v>2777</v>
      </c>
      <c r="F94" s="24">
        <v>7.39</v>
      </c>
      <c r="G94" s="13">
        <f t="shared" si="2"/>
        <v>32493.829999999998</v>
      </c>
      <c r="H94" s="14">
        <v>0.82</v>
      </c>
      <c r="I94" s="13">
        <v>19832</v>
      </c>
    </row>
    <row r="95" spans="1:9" x14ac:dyDescent="0.25">
      <c r="A95" s="4" t="s">
        <v>709</v>
      </c>
      <c r="B95" s="4" t="s">
        <v>1033</v>
      </c>
      <c r="C95" s="4" t="s">
        <v>32</v>
      </c>
      <c r="D95" s="12">
        <v>11200</v>
      </c>
      <c r="E95" s="12">
        <v>5749</v>
      </c>
      <c r="F95" s="24">
        <v>5.77</v>
      </c>
      <c r="G95" s="13">
        <f t="shared" si="2"/>
        <v>64623.999999999993</v>
      </c>
      <c r="H95" s="14">
        <v>0.6</v>
      </c>
      <c r="I95" s="13">
        <v>33331</v>
      </c>
    </row>
    <row r="96" spans="1:9" x14ac:dyDescent="0.25">
      <c r="A96" s="4" t="s">
        <v>710</v>
      </c>
      <c r="B96" s="4" t="s">
        <v>1007</v>
      </c>
      <c r="C96" s="4" t="s">
        <v>237</v>
      </c>
      <c r="D96" s="12">
        <v>267</v>
      </c>
      <c r="E96" s="12">
        <v>120</v>
      </c>
      <c r="F96" s="24">
        <v>76.7</v>
      </c>
      <c r="G96" s="13">
        <f t="shared" si="2"/>
        <v>20478.900000000001</v>
      </c>
      <c r="H96" s="14">
        <v>0.59</v>
      </c>
      <c r="I96" s="13">
        <v>9833</v>
      </c>
    </row>
    <row r="97" spans="1:9" x14ac:dyDescent="0.25">
      <c r="A97" s="4" t="s">
        <v>711</v>
      </c>
      <c r="B97" s="4" t="s">
        <v>1034</v>
      </c>
      <c r="C97" s="4" t="s">
        <v>32</v>
      </c>
      <c r="D97" s="12">
        <v>4951</v>
      </c>
      <c r="E97" s="12">
        <v>3839</v>
      </c>
      <c r="F97" s="24">
        <v>11.77</v>
      </c>
      <c r="G97" s="13">
        <f t="shared" si="2"/>
        <v>58273.27</v>
      </c>
      <c r="H97" s="14">
        <v>0.96</v>
      </c>
      <c r="I97" s="13">
        <v>46785</v>
      </c>
    </row>
    <row r="98" spans="1:9" x14ac:dyDescent="0.25">
      <c r="A98" s="4" t="s">
        <v>712</v>
      </c>
      <c r="B98" s="4" t="s">
        <v>1008</v>
      </c>
      <c r="C98" s="4" t="s">
        <v>32</v>
      </c>
      <c r="D98" s="12">
        <v>2802</v>
      </c>
      <c r="E98" s="12">
        <v>1507</v>
      </c>
      <c r="F98" s="24">
        <v>8.94</v>
      </c>
      <c r="G98" s="13">
        <f t="shared" si="2"/>
        <v>25049.879999999997</v>
      </c>
      <c r="H98" s="14">
        <v>0.64</v>
      </c>
      <c r="I98" s="13">
        <v>14211</v>
      </c>
    </row>
    <row r="99" spans="1:9" x14ac:dyDescent="0.25">
      <c r="A99" s="4" t="s">
        <v>713</v>
      </c>
      <c r="B99" s="4" t="s">
        <v>1031</v>
      </c>
      <c r="C99" s="4" t="s">
        <v>32</v>
      </c>
      <c r="D99" s="12">
        <v>4872</v>
      </c>
      <c r="E99" s="12">
        <v>2191</v>
      </c>
      <c r="F99" s="24">
        <v>6.76</v>
      </c>
      <c r="G99" s="13">
        <f t="shared" si="2"/>
        <v>32934.720000000001</v>
      </c>
      <c r="H99" s="14">
        <v>0.51</v>
      </c>
      <c r="I99" s="13">
        <v>14886</v>
      </c>
    </row>
    <row r="100" spans="1:9" x14ac:dyDescent="0.25">
      <c r="A100" s="4" t="s">
        <v>714</v>
      </c>
      <c r="B100" s="4" t="s">
        <v>998</v>
      </c>
      <c r="C100" s="4" t="s">
        <v>32</v>
      </c>
      <c r="D100" s="12">
        <v>2344</v>
      </c>
      <c r="E100" s="12">
        <v>1342</v>
      </c>
      <c r="F100" s="24">
        <v>5.72</v>
      </c>
      <c r="G100" s="13">
        <f t="shared" si="2"/>
        <v>13407.68</v>
      </c>
      <c r="H100" s="14">
        <v>0.63</v>
      </c>
      <c r="I100" s="13">
        <v>7384</v>
      </c>
    </row>
    <row r="101" spans="1:9" x14ac:dyDescent="0.25">
      <c r="A101" s="4" t="s">
        <v>715</v>
      </c>
      <c r="B101" s="4" t="s">
        <v>999</v>
      </c>
      <c r="C101" s="4" t="s">
        <v>237</v>
      </c>
      <c r="D101" s="12">
        <v>190</v>
      </c>
      <c r="E101" s="12">
        <v>94</v>
      </c>
      <c r="F101" s="24">
        <v>133.76</v>
      </c>
      <c r="G101" s="13">
        <f t="shared" ref="G101:G132" si="3">D101*F101</f>
        <v>25414.399999999998</v>
      </c>
      <c r="H101" s="14">
        <v>0.61</v>
      </c>
      <c r="I101" s="13">
        <v>12780</v>
      </c>
    </row>
    <row r="102" spans="1:9" x14ac:dyDescent="0.25">
      <c r="A102" s="4" t="s">
        <v>716</v>
      </c>
      <c r="B102" s="4" t="s">
        <v>1031</v>
      </c>
      <c r="C102" s="4" t="s">
        <v>32</v>
      </c>
      <c r="D102" s="12">
        <v>2102</v>
      </c>
      <c r="E102" s="12">
        <v>665</v>
      </c>
      <c r="F102" s="24">
        <v>6.56</v>
      </c>
      <c r="G102" s="13">
        <f t="shared" si="3"/>
        <v>13789.119999999999</v>
      </c>
      <c r="H102" s="14">
        <v>0.41</v>
      </c>
      <c r="I102" s="13">
        <v>4654</v>
      </c>
    </row>
    <row r="103" spans="1:9" x14ac:dyDescent="0.25">
      <c r="A103" s="4" t="s">
        <v>717</v>
      </c>
      <c r="B103" s="4" t="s">
        <v>1025</v>
      </c>
      <c r="C103" s="4" t="s">
        <v>32</v>
      </c>
      <c r="D103" s="12">
        <v>9957</v>
      </c>
      <c r="E103" s="12">
        <v>7928</v>
      </c>
      <c r="F103" s="24">
        <v>3.82</v>
      </c>
      <c r="G103" s="13">
        <f t="shared" si="3"/>
        <v>38035.74</v>
      </c>
      <c r="H103" s="14">
        <v>0.87</v>
      </c>
      <c r="I103" s="13">
        <v>32147</v>
      </c>
    </row>
    <row r="104" spans="1:9" x14ac:dyDescent="0.25">
      <c r="A104" s="4" t="s">
        <v>718</v>
      </c>
      <c r="B104" s="4" t="s">
        <v>1033</v>
      </c>
      <c r="C104" s="4" t="s">
        <v>32</v>
      </c>
      <c r="D104" s="12">
        <v>2999</v>
      </c>
      <c r="E104" s="12">
        <v>2234</v>
      </c>
      <c r="F104" s="24">
        <v>7.06</v>
      </c>
      <c r="G104" s="13">
        <f t="shared" si="3"/>
        <v>21172.94</v>
      </c>
      <c r="H104" s="14">
        <v>0.85</v>
      </c>
      <c r="I104" s="13">
        <v>15298</v>
      </c>
    </row>
    <row r="105" spans="1:9" x14ac:dyDescent="0.25">
      <c r="A105" s="4" t="s">
        <v>719</v>
      </c>
      <c r="B105" s="4" t="s">
        <v>1033</v>
      </c>
      <c r="C105" s="4" t="s">
        <v>32</v>
      </c>
      <c r="D105" s="12">
        <v>5720</v>
      </c>
      <c r="E105" s="12">
        <v>3255</v>
      </c>
      <c r="F105" s="24">
        <v>6.13</v>
      </c>
      <c r="G105" s="13">
        <f t="shared" si="3"/>
        <v>35063.599999999999</v>
      </c>
      <c r="H105" s="14">
        <v>0.65</v>
      </c>
      <c r="I105" s="13">
        <v>19697</v>
      </c>
    </row>
    <row r="106" spans="1:9" x14ac:dyDescent="0.25">
      <c r="A106" s="4" t="s">
        <v>720</v>
      </c>
      <c r="B106" s="4" t="s">
        <v>997</v>
      </c>
      <c r="C106" s="4" t="s">
        <v>237</v>
      </c>
      <c r="D106" s="12">
        <v>257</v>
      </c>
      <c r="E106" s="12">
        <v>105</v>
      </c>
      <c r="F106" s="24">
        <v>72.02</v>
      </c>
      <c r="G106" s="13">
        <f t="shared" si="3"/>
        <v>18509.14</v>
      </c>
      <c r="H106" s="14">
        <v>0.55000000000000004</v>
      </c>
      <c r="I106" s="13">
        <v>8016</v>
      </c>
    </row>
    <row r="107" spans="1:9" x14ac:dyDescent="0.25">
      <c r="A107" s="4" t="s">
        <v>721</v>
      </c>
      <c r="B107" s="4" t="s">
        <v>1022</v>
      </c>
      <c r="C107" s="4" t="s">
        <v>237</v>
      </c>
      <c r="D107" s="12">
        <v>108</v>
      </c>
      <c r="E107" s="12">
        <v>53</v>
      </c>
      <c r="F107" s="24">
        <v>61.23</v>
      </c>
      <c r="G107" s="13">
        <f t="shared" si="3"/>
        <v>6612.8399999999992</v>
      </c>
      <c r="H107" s="14">
        <v>0.67</v>
      </c>
      <c r="I107" s="13">
        <v>3107</v>
      </c>
    </row>
    <row r="108" spans="1:9" x14ac:dyDescent="0.25">
      <c r="A108" s="4" t="s">
        <v>722</v>
      </c>
      <c r="B108" s="4" t="s">
        <v>1018</v>
      </c>
      <c r="C108" s="4" t="s">
        <v>237</v>
      </c>
      <c r="D108" s="12">
        <v>1</v>
      </c>
      <c r="E108" s="12">
        <v>0</v>
      </c>
      <c r="F108" s="24">
        <v>168132.4</v>
      </c>
      <c r="G108" s="13">
        <f t="shared" si="3"/>
        <v>168132.4</v>
      </c>
      <c r="H108" s="14">
        <v>0.09</v>
      </c>
      <c r="I108" s="13">
        <v>0</v>
      </c>
    </row>
    <row r="109" spans="1:9" x14ac:dyDescent="0.25">
      <c r="A109" s="4" t="s">
        <v>723</v>
      </c>
      <c r="B109" s="4" t="s">
        <v>1011</v>
      </c>
      <c r="C109" s="4" t="s">
        <v>237</v>
      </c>
      <c r="D109" s="12">
        <v>118</v>
      </c>
      <c r="E109" s="12">
        <v>44</v>
      </c>
      <c r="F109" s="24">
        <v>86.78</v>
      </c>
      <c r="G109" s="13">
        <f t="shared" si="3"/>
        <v>10240.040000000001</v>
      </c>
      <c r="H109" s="14">
        <v>0.44</v>
      </c>
      <c r="I109" s="13">
        <v>3604</v>
      </c>
    </row>
    <row r="110" spans="1:9" x14ac:dyDescent="0.25">
      <c r="A110" s="4" t="s">
        <v>724</v>
      </c>
      <c r="B110" s="4" t="s">
        <v>1010</v>
      </c>
      <c r="C110" s="4" t="s">
        <v>237</v>
      </c>
      <c r="D110" s="12">
        <v>1</v>
      </c>
      <c r="E110" s="12">
        <v>0</v>
      </c>
      <c r="F110" s="24">
        <v>92270.77</v>
      </c>
      <c r="G110" s="13">
        <f t="shared" si="3"/>
        <v>92270.77</v>
      </c>
      <c r="H110" s="14">
        <v>0.17</v>
      </c>
      <c r="I110" s="13">
        <v>0</v>
      </c>
    </row>
    <row r="111" spans="1:9" x14ac:dyDescent="0.25">
      <c r="A111" s="4" t="s">
        <v>725</v>
      </c>
      <c r="B111" s="4" t="s">
        <v>1027</v>
      </c>
      <c r="C111" s="4" t="s">
        <v>32</v>
      </c>
      <c r="D111" s="12">
        <v>7914</v>
      </c>
      <c r="E111" s="12">
        <v>5864</v>
      </c>
      <c r="F111" s="24">
        <v>7.15</v>
      </c>
      <c r="G111" s="13">
        <f t="shared" si="3"/>
        <v>56585.100000000006</v>
      </c>
      <c r="H111" s="14">
        <v>0.93</v>
      </c>
      <c r="I111" s="13">
        <v>46987</v>
      </c>
    </row>
    <row r="112" spans="1:9" x14ac:dyDescent="0.25">
      <c r="A112" s="4" t="s">
        <v>726</v>
      </c>
      <c r="B112" s="4" t="s">
        <v>1013</v>
      </c>
      <c r="C112" s="4" t="s">
        <v>237</v>
      </c>
      <c r="D112" s="12">
        <v>7</v>
      </c>
      <c r="E112" s="12">
        <v>3</v>
      </c>
      <c r="F112" s="24">
        <v>11089.96</v>
      </c>
      <c r="G112" s="13">
        <f t="shared" si="3"/>
        <v>77629.72</v>
      </c>
      <c r="H112" s="14">
        <v>0.52</v>
      </c>
      <c r="I112" s="13">
        <v>34645</v>
      </c>
    </row>
    <row r="113" spans="1:9" x14ac:dyDescent="0.25">
      <c r="A113" s="4" t="s">
        <v>727</v>
      </c>
      <c r="B113" s="4" t="s">
        <v>1007</v>
      </c>
      <c r="C113" s="4" t="s">
        <v>237</v>
      </c>
      <c r="D113" s="12">
        <v>87</v>
      </c>
      <c r="E113" s="12">
        <v>64</v>
      </c>
      <c r="F113" s="24">
        <v>76.150000000000006</v>
      </c>
      <c r="G113" s="13">
        <f t="shared" si="3"/>
        <v>6625.05</v>
      </c>
      <c r="H113" s="14">
        <v>0.9</v>
      </c>
      <c r="I113" s="13">
        <v>5525</v>
      </c>
    </row>
    <row r="114" spans="1:9" x14ac:dyDescent="0.25">
      <c r="A114" s="4" t="s">
        <v>728</v>
      </c>
      <c r="B114" s="4" t="s">
        <v>1035</v>
      </c>
      <c r="C114" s="4" t="s">
        <v>237</v>
      </c>
      <c r="D114" s="12">
        <v>134</v>
      </c>
      <c r="E114" s="12">
        <v>81</v>
      </c>
      <c r="F114" s="24">
        <v>98.26</v>
      </c>
      <c r="G114" s="13">
        <f t="shared" si="3"/>
        <v>13166.84</v>
      </c>
      <c r="H114" s="14">
        <v>0.78</v>
      </c>
      <c r="I114" s="13">
        <v>7565</v>
      </c>
    </row>
    <row r="115" spans="1:9" x14ac:dyDescent="0.25">
      <c r="A115" s="4" t="s">
        <v>729</v>
      </c>
      <c r="B115" s="4" t="s">
        <v>1036</v>
      </c>
      <c r="C115" s="4" t="s">
        <v>237</v>
      </c>
      <c r="D115" s="12">
        <v>6</v>
      </c>
      <c r="E115" s="12">
        <v>5</v>
      </c>
      <c r="F115" s="24">
        <v>5691.11</v>
      </c>
      <c r="G115" s="13">
        <f t="shared" si="3"/>
        <v>34146.659999999996</v>
      </c>
      <c r="H115" s="14">
        <v>0.94</v>
      </c>
      <c r="I115" s="13">
        <v>30901</v>
      </c>
    </row>
    <row r="116" spans="1:9" x14ac:dyDescent="0.25">
      <c r="A116" s="4" t="s">
        <v>730</v>
      </c>
      <c r="B116" s="4" t="s">
        <v>1034</v>
      </c>
      <c r="C116" s="4" t="s">
        <v>32</v>
      </c>
      <c r="D116" s="12">
        <v>12772</v>
      </c>
      <c r="E116" s="12">
        <v>3889</v>
      </c>
      <c r="F116" s="24">
        <v>16.440000000000001</v>
      </c>
      <c r="G116" s="13">
        <f t="shared" si="3"/>
        <v>209971.68000000002</v>
      </c>
      <c r="H116" s="14">
        <v>0.48</v>
      </c>
      <c r="I116" s="13">
        <v>69683</v>
      </c>
    </row>
    <row r="117" spans="1:9" x14ac:dyDescent="0.25">
      <c r="A117" s="4" t="s">
        <v>731</v>
      </c>
      <c r="B117" s="4" t="s">
        <v>1037</v>
      </c>
      <c r="C117" s="4" t="s">
        <v>32</v>
      </c>
      <c r="D117" s="12">
        <v>5311</v>
      </c>
      <c r="E117" s="12">
        <v>1869</v>
      </c>
      <c r="F117" s="24">
        <v>4.09</v>
      </c>
      <c r="G117" s="13">
        <f t="shared" si="3"/>
        <v>21721.989999999998</v>
      </c>
      <c r="H117" s="14">
        <v>0.43</v>
      </c>
      <c r="I117" s="13">
        <v>7819</v>
      </c>
    </row>
    <row r="118" spans="1:9" x14ac:dyDescent="0.25">
      <c r="A118" s="4" t="s">
        <v>732</v>
      </c>
      <c r="B118" s="4" t="s">
        <v>1021</v>
      </c>
      <c r="C118" s="4" t="s">
        <v>237</v>
      </c>
      <c r="D118" s="12">
        <v>1</v>
      </c>
      <c r="E118" s="12">
        <v>1</v>
      </c>
      <c r="F118" s="24">
        <v>154978</v>
      </c>
      <c r="G118" s="13">
        <f t="shared" si="3"/>
        <v>154978</v>
      </c>
      <c r="H118" s="14">
        <v>1</v>
      </c>
      <c r="I118" s="13">
        <v>148025</v>
      </c>
    </row>
    <row r="119" spans="1:9" x14ac:dyDescent="0.25">
      <c r="B119" s="16" t="s">
        <v>879</v>
      </c>
      <c r="G119" s="8">
        <f>SUM(G5:G118)</f>
        <v>8327997.6799999988</v>
      </c>
      <c r="I119" s="8">
        <f>SUM(I5:I118)</f>
        <v>4294367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6"/>
  <sheetViews>
    <sheetView showGridLines="0" tabSelected="1" topLeftCell="A27" zoomScaleNormal="100" workbookViewId="0"/>
  </sheetViews>
  <sheetFormatPr baseColWidth="10" defaultColWidth="8.7109375" defaultRowHeight="15" x14ac:dyDescent="0.25"/>
  <cols>
    <col min="1" max="1" width="15" customWidth="1"/>
    <col min="2" max="2" width="18" customWidth="1"/>
    <col min="3" max="3" width="10" customWidth="1"/>
    <col min="4" max="5" width="13" customWidth="1"/>
    <col min="6" max="6" width="15" customWidth="1"/>
    <col min="7" max="7" width="11" customWidth="1"/>
    <col min="8" max="8" width="15" customWidth="1"/>
    <col min="9" max="9" width="11" customWidth="1"/>
    <col min="10" max="11" width="15" customWidth="1"/>
    <col min="13" max="13" width="26" customWidth="1"/>
    <col min="14" max="14" width="2" customWidth="1"/>
    <col min="15" max="15" width="18" customWidth="1"/>
  </cols>
  <sheetData>
    <row r="1" spans="1:15" ht="17.25" x14ac:dyDescent="0.3">
      <c r="A1" s="1" t="s">
        <v>12</v>
      </c>
    </row>
    <row r="2" spans="1:15" x14ac:dyDescent="0.25">
      <c r="A2" s="2" t="s">
        <v>13</v>
      </c>
    </row>
    <row r="4" spans="1:15" x14ac:dyDescent="0.25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  <c r="M4" s="11" t="s">
        <v>25</v>
      </c>
    </row>
    <row r="5" spans="1:15" x14ac:dyDescent="0.25">
      <c r="A5" s="4" t="s">
        <v>26</v>
      </c>
      <c r="B5" s="4" t="s">
        <v>6</v>
      </c>
      <c r="C5" s="4" t="s">
        <v>27</v>
      </c>
      <c r="D5" s="12">
        <v>1017</v>
      </c>
      <c r="E5" s="12">
        <v>984</v>
      </c>
      <c r="F5" s="13">
        <v>22598</v>
      </c>
      <c r="G5" s="14">
        <v>1</v>
      </c>
      <c r="H5" s="13">
        <v>21822</v>
      </c>
      <c r="I5" s="15">
        <f t="shared" ref="I5:I68" si="0">IF(D5&gt;0,MIN(E5/D5,1),0)</f>
        <v>0.96755162241887904</v>
      </c>
      <c r="J5" s="13">
        <f t="shared" ref="J5:J68" si="1">F5*I5</f>
        <v>21864.731563421828</v>
      </c>
      <c r="K5" s="13">
        <f t="shared" ref="K5:K68" si="2">F5*G5</f>
        <v>22598</v>
      </c>
    </row>
    <row r="6" spans="1:15" x14ac:dyDescent="0.25">
      <c r="A6" s="4" t="s">
        <v>28</v>
      </c>
      <c r="B6" s="4" t="s">
        <v>6</v>
      </c>
      <c r="C6" s="4" t="s">
        <v>29</v>
      </c>
      <c r="D6" s="12">
        <v>8227</v>
      </c>
      <c r="E6" s="12">
        <v>8046</v>
      </c>
      <c r="F6" s="13">
        <v>72809</v>
      </c>
      <c r="G6" s="14">
        <v>1</v>
      </c>
      <c r="H6" s="13">
        <v>79489</v>
      </c>
      <c r="I6" s="15">
        <f t="shared" si="0"/>
        <v>0.97799927069405612</v>
      </c>
      <c r="J6" s="13">
        <f t="shared" si="1"/>
        <v>71207.148899963533</v>
      </c>
      <c r="K6" s="13">
        <f t="shared" si="2"/>
        <v>72809</v>
      </c>
      <c r="M6" s="16" t="s">
        <v>30</v>
      </c>
      <c r="O6" s="5">
        <f>SUM(F5:F766)</f>
        <v>55520000</v>
      </c>
    </row>
    <row r="7" spans="1:15" x14ac:dyDescent="0.25">
      <c r="A7" s="4" t="s">
        <v>31</v>
      </c>
      <c r="B7" s="4" t="s">
        <v>6</v>
      </c>
      <c r="C7" s="4" t="s">
        <v>32</v>
      </c>
      <c r="D7" s="12">
        <v>537</v>
      </c>
      <c r="E7" s="12">
        <v>426</v>
      </c>
      <c r="F7" s="13">
        <v>27059</v>
      </c>
      <c r="G7" s="14">
        <v>0.9</v>
      </c>
      <c r="H7" s="13">
        <v>23256</v>
      </c>
      <c r="I7" s="15">
        <f t="shared" si="0"/>
        <v>0.79329608938547491</v>
      </c>
      <c r="J7" s="13">
        <f t="shared" si="1"/>
        <v>21465.798882681567</v>
      </c>
      <c r="K7" s="13">
        <f t="shared" si="2"/>
        <v>24353.100000000002</v>
      </c>
      <c r="M7" s="16" t="s">
        <v>33</v>
      </c>
      <c r="O7" s="5">
        <f>SUM(K5:K766)</f>
        <v>39520591.759999931</v>
      </c>
    </row>
    <row r="8" spans="1:15" x14ac:dyDescent="0.25">
      <c r="A8" s="4" t="s">
        <v>34</v>
      </c>
      <c r="B8" s="4" t="s">
        <v>6</v>
      </c>
      <c r="C8" s="4" t="s">
        <v>29</v>
      </c>
      <c r="D8" s="12">
        <v>3408</v>
      </c>
      <c r="E8" s="12">
        <v>2796</v>
      </c>
      <c r="F8" s="13">
        <v>23277</v>
      </c>
      <c r="G8" s="14">
        <v>0.9</v>
      </c>
      <c r="H8" s="13">
        <v>18386</v>
      </c>
      <c r="I8" s="15">
        <f t="shared" si="0"/>
        <v>0.82042253521126762</v>
      </c>
      <c r="J8" s="13">
        <f t="shared" si="1"/>
        <v>19096.975352112677</v>
      </c>
      <c r="K8" s="13">
        <f t="shared" si="2"/>
        <v>20949.3</v>
      </c>
      <c r="M8" s="16" t="s">
        <v>35</v>
      </c>
      <c r="O8" s="5">
        <f>SUM(J5:J766)</f>
        <v>33947130.854677781</v>
      </c>
    </row>
    <row r="9" spans="1:15" x14ac:dyDescent="0.25">
      <c r="A9" s="4" t="s">
        <v>36</v>
      </c>
      <c r="B9" s="4" t="s">
        <v>6</v>
      </c>
      <c r="C9" s="4" t="s">
        <v>29</v>
      </c>
      <c r="D9" s="12">
        <v>63</v>
      </c>
      <c r="E9" s="12">
        <v>67</v>
      </c>
      <c r="F9" s="13">
        <v>20251</v>
      </c>
      <c r="G9" s="14">
        <v>1</v>
      </c>
      <c r="H9" s="13">
        <v>17941</v>
      </c>
      <c r="I9" s="15">
        <f t="shared" si="0"/>
        <v>1</v>
      </c>
      <c r="J9" s="13">
        <f t="shared" si="1"/>
        <v>20251</v>
      </c>
      <c r="K9" s="13">
        <f t="shared" si="2"/>
        <v>20251</v>
      </c>
      <c r="M9" s="16" t="s">
        <v>37</v>
      </c>
      <c r="O9" s="5">
        <f>SUM(H5:H766)</f>
        <v>35031285</v>
      </c>
    </row>
    <row r="10" spans="1:15" x14ac:dyDescent="0.25">
      <c r="A10" s="4" t="s">
        <v>38</v>
      </c>
      <c r="B10" s="4" t="s">
        <v>6</v>
      </c>
      <c r="C10" s="4" t="s">
        <v>32</v>
      </c>
      <c r="D10" s="12">
        <v>807</v>
      </c>
      <c r="E10" s="12">
        <v>687</v>
      </c>
      <c r="F10" s="13">
        <v>41415</v>
      </c>
      <c r="G10" s="14">
        <v>0.93</v>
      </c>
      <c r="H10" s="13">
        <v>39342</v>
      </c>
      <c r="I10" s="15">
        <f t="shared" si="0"/>
        <v>0.85130111524163565</v>
      </c>
      <c r="J10" s="13">
        <f t="shared" si="1"/>
        <v>35256.635687732341</v>
      </c>
      <c r="K10" s="13">
        <f t="shared" si="2"/>
        <v>38515.950000000004</v>
      </c>
      <c r="M10" s="16" t="s">
        <v>39</v>
      </c>
      <c r="O10" s="17">
        <f>SUM(J5:J766)/SUM(F5:F766)</f>
        <v>0.61143967677733757</v>
      </c>
    </row>
    <row r="11" spans="1:15" x14ac:dyDescent="0.25">
      <c r="A11" s="4" t="s">
        <v>40</v>
      </c>
      <c r="B11" s="4" t="s">
        <v>6</v>
      </c>
      <c r="C11" s="4" t="s">
        <v>32</v>
      </c>
      <c r="D11" s="12">
        <v>553</v>
      </c>
      <c r="E11" s="12">
        <v>482</v>
      </c>
      <c r="F11" s="13">
        <v>23309</v>
      </c>
      <c r="G11" s="14">
        <v>1</v>
      </c>
      <c r="H11" s="13">
        <v>21862</v>
      </c>
      <c r="I11" s="15">
        <f t="shared" si="0"/>
        <v>0.87160940325497283</v>
      </c>
      <c r="J11" s="13">
        <f t="shared" si="1"/>
        <v>20316.343580470162</v>
      </c>
      <c r="K11" s="13">
        <f t="shared" si="2"/>
        <v>23309</v>
      </c>
      <c r="M11" s="16" t="s">
        <v>41</v>
      </c>
      <c r="O11" s="18">
        <f>O8/O7</f>
        <v>0.85897324262833463</v>
      </c>
    </row>
    <row r="12" spans="1:15" x14ac:dyDescent="0.25">
      <c r="A12" s="4" t="s">
        <v>42</v>
      </c>
      <c r="B12" s="4" t="s">
        <v>6</v>
      </c>
      <c r="C12" s="4" t="s">
        <v>29</v>
      </c>
      <c r="D12" s="12">
        <v>5622</v>
      </c>
      <c r="E12" s="12">
        <v>4385</v>
      </c>
      <c r="F12" s="13">
        <v>28953</v>
      </c>
      <c r="G12" s="14">
        <v>0.92</v>
      </c>
      <c r="H12" s="13">
        <v>24135</v>
      </c>
      <c r="I12" s="15">
        <f t="shared" si="0"/>
        <v>0.77997154037709004</v>
      </c>
      <c r="J12" s="13">
        <f t="shared" si="1"/>
        <v>22582.516008537888</v>
      </c>
      <c r="K12" s="13">
        <f t="shared" si="2"/>
        <v>26636.760000000002</v>
      </c>
      <c r="M12" s="16" t="s">
        <v>43</v>
      </c>
      <c r="O12" s="18">
        <f>O8/O9</f>
        <v>0.96905183051885713</v>
      </c>
    </row>
    <row r="13" spans="1:15" x14ac:dyDescent="0.25">
      <c r="A13" s="4" t="s">
        <v>44</v>
      </c>
      <c r="B13" s="4" t="s">
        <v>6</v>
      </c>
      <c r="C13" s="4" t="s">
        <v>45</v>
      </c>
      <c r="D13" s="12">
        <v>35468</v>
      </c>
      <c r="E13" s="12">
        <v>27268</v>
      </c>
      <c r="F13" s="13">
        <v>47882</v>
      </c>
      <c r="G13" s="14">
        <v>0.89</v>
      </c>
      <c r="H13" s="13">
        <v>39446</v>
      </c>
      <c r="I13" s="15">
        <f t="shared" si="0"/>
        <v>0.76880568399684224</v>
      </c>
      <c r="J13" s="13">
        <f t="shared" si="1"/>
        <v>36811.9537611368</v>
      </c>
      <c r="K13" s="13">
        <f t="shared" si="2"/>
        <v>42614.98</v>
      </c>
    </row>
    <row r="14" spans="1:15" x14ac:dyDescent="0.25">
      <c r="A14" s="4" t="s">
        <v>46</v>
      </c>
      <c r="B14" s="4" t="s">
        <v>6</v>
      </c>
      <c r="C14" s="4" t="s">
        <v>32</v>
      </c>
      <c r="D14" s="12">
        <v>1563</v>
      </c>
      <c r="E14" s="12">
        <v>1489</v>
      </c>
      <c r="F14" s="13">
        <v>65224</v>
      </c>
      <c r="G14" s="14">
        <v>1</v>
      </c>
      <c r="H14" s="13">
        <v>64127</v>
      </c>
      <c r="I14" s="15">
        <f t="shared" si="0"/>
        <v>0.95265515035188741</v>
      </c>
      <c r="J14" s="13">
        <f t="shared" si="1"/>
        <v>62135.979526551506</v>
      </c>
      <c r="K14" s="13">
        <f t="shared" si="2"/>
        <v>65224</v>
      </c>
      <c r="M14" s="11" t="s">
        <v>47</v>
      </c>
    </row>
    <row r="15" spans="1:15" x14ac:dyDescent="0.25">
      <c r="A15" s="4" t="s">
        <v>48</v>
      </c>
      <c r="B15" s="4" t="s">
        <v>6</v>
      </c>
      <c r="C15" s="4" t="s">
        <v>29</v>
      </c>
      <c r="D15" s="12">
        <v>255</v>
      </c>
      <c r="E15" s="12">
        <v>220</v>
      </c>
      <c r="F15" s="13">
        <v>76520</v>
      </c>
      <c r="G15" s="14">
        <v>0.96</v>
      </c>
      <c r="H15" s="13">
        <v>67110</v>
      </c>
      <c r="I15" s="15">
        <f t="shared" si="0"/>
        <v>0.86274509803921573</v>
      </c>
      <c r="J15" s="13">
        <f t="shared" si="1"/>
        <v>66017.254901960783</v>
      </c>
      <c r="K15" s="13">
        <f t="shared" si="2"/>
        <v>73459.199999999997</v>
      </c>
      <c r="M15" s="19" t="s">
        <v>6</v>
      </c>
      <c r="O15" s="20">
        <f>SUMIFS(J5:J766,B5:B766,"Civil")/SUMIFS(F5:F766,B5:B766,"Civil")</f>
        <v>0.87389901715880403</v>
      </c>
    </row>
    <row r="16" spans="1:15" x14ac:dyDescent="0.25">
      <c r="A16" s="4" t="s">
        <v>49</v>
      </c>
      <c r="B16" s="4" t="s">
        <v>6</v>
      </c>
      <c r="C16" s="4" t="s">
        <v>29</v>
      </c>
      <c r="D16" s="12">
        <v>135</v>
      </c>
      <c r="E16" s="12">
        <v>127</v>
      </c>
      <c r="F16" s="13">
        <v>36570</v>
      </c>
      <c r="G16" s="14">
        <v>1</v>
      </c>
      <c r="H16" s="13">
        <v>36588</v>
      </c>
      <c r="I16" s="15">
        <f t="shared" si="0"/>
        <v>0.94074074074074077</v>
      </c>
      <c r="J16" s="13">
        <f t="shared" si="1"/>
        <v>34402.888888888891</v>
      </c>
      <c r="K16" s="13">
        <f t="shared" si="2"/>
        <v>36570</v>
      </c>
      <c r="M16" s="19" t="s">
        <v>7</v>
      </c>
      <c r="O16" s="20">
        <f>SUMIFS(J5:J766,B5:B766,"Mecánica estática")/SUMIFS(F5:F766,B5:B766,"Mecánica estática")</f>
        <v>0.69265995220110699</v>
      </c>
    </row>
    <row r="17" spans="1:15" x14ac:dyDescent="0.25">
      <c r="A17" s="4" t="s">
        <v>50</v>
      </c>
      <c r="B17" s="4" t="s">
        <v>6</v>
      </c>
      <c r="C17" s="4" t="s">
        <v>29</v>
      </c>
      <c r="D17" s="12">
        <v>6123</v>
      </c>
      <c r="E17" s="12">
        <v>5431</v>
      </c>
      <c r="F17" s="13">
        <v>39738</v>
      </c>
      <c r="G17" s="14">
        <v>0.97</v>
      </c>
      <c r="H17" s="13">
        <v>38540</v>
      </c>
      <c r="I17" s="15">
        <f t="shared" si="0"/>
        <v>0.88698350481789967</v>
      </c>
      <c r="J17" s="13">
        <f t="shared" si="1"/>
        <v>35246.950514453696</v>
      </c>
      <c r="K17" s="13">
        <f t="shared" si="2"/>
        <v>38545.86</v>
      </c>
      <c r="M17" s="19" t="s">
        <v>8</v>
      </c>
      <c r="O17" s="20">
        <f>SUMIFS(J5:J766,B5:B766,"Rotativa")/SUMIFS(F5:F766,B5:B766,"Rotativa")</f>
        <v>0.26211888415728929</v>
      </c>
    </row>
    <row r="18" spans="1:15" x14ac:dyDescent="0.25">
      <c r="A18" s="4" t="s">
        <v>51</v>
      </c>
      <c r="B18" s="4" t="s">
        <v>6</v>
      </c>
      <c r="C18" s="4" t="s">
        <v>27</v>
      </c>
      <c r="D18" s="12">
        <v>3386</v>
      </c>
      <c r="E18" s="12">
        <v>2687</v>
      </c>
      <c r="F18" s="13">
        <v>159210</v>
      </c>
      <c r="G18" s="14">
        <v>0.92</v>
      </c>
      <c r="H18" s="13">
        <v>141293</v>
      </c>
      <c r="I18" s="15">
        <f t="shared" si="0"/>
        <v>0.79356172474896636</v>
      </c>
      <c r="J18" s="13">
        <f t="shared" si="1"/>
        <v>126342.96219728293</v>
      </c>
      <c r="K18" s="13">
        <f t="shared" si="2"/>
        <v>146473.20000000001</v>
      </c>
      <c r="M18" s="19" t="s">
        <v>9</v>
      </c>
      <c r="O18" s="20">
        <f>SUMIFS(J5:J766,B5:B766,"Instrumentación")/SUMIFS(F5:F766,B5:B766,"Instrumentación")</f>
        <v>0.31423065826759067</v>
      </c>
    </row>
    <row r="19" spans="1:15" x14ac:dyDescent="0.25">
      <c r="A19" s="4" t="s">
        <v>52</v>
      </c>
      <c r="B19" s="4" t="s">
        <v>6</v>
      </c>
      <c r="C19" s="4" t="s">
        <v>27</v>
      </c>
      <c r="D19" s="12">
        <v>2998</v>
      </c>
      <c r="E19" s="12">
        <v>2488</v>
      </c>
      <c r="F19" s="13">
        <v>162791</v>
      </c>
      <c r="G19" s="14">
        <v>0.93</v>
      </c>
      <c r="H19" s="13">
        <v>152165</v>
      </c>
      <c r="I19" s="15">
        <f t="shared" si="0"/>
        <v>0.82988659106070717</v>
      </c>
      <c r="J19" s="13">
        <f t="shared" si="1"/>
        <v>135098.06804536359</v>
      </c>
      <c r="K19" s="13">
        <f t="shared" si="2"/>
        <v>151395.63</v>
      </c>
      <c r="M19" s="19" t="s">
        <v>10</v>
      </c>
      <c r="O19" s="20">
        <f>SUMIFS(J5:J766,B5:B766,"Eléctrica")/SUMIFS(F5:F766,B5:B766,"Eléctrica")</f>
        <v>0.51458301374254511</v>
      </c>
    </row>
    <row r="20" spans="1:15" x14ac:dyDescent="0.25">
      <c r="A20" s="4" t="s">
        <v>53</v>
      </c>
      <c r="B20" s="4" t="s">
        <v>6</v>
      </c>
      <c r="C20" s="4" t="s">
        <v>45</v>
      </c>
      <c r="D20" s="12">
        <v>24280</v>
      </c>
      <c r="E20" s="12">
        <v>23123</v>
      </c>
      <c r="F20" s="13">
        <v>44432</v>
      </c>
      <c r="G20" s="14">
        <v>1</v>
      </c>
      <c r="H20" s="13">
        <v>42192</v>
      </c>
      <c r="I20" s="15">
        <f t="shared" si="0"/>
        <v>0.95234761120263589</v>
      </c>
      <c r="J20" s="13">
        <f t="shared" si="1"/>
        <v>42314.709060955516</v>
      </c>
      <c r="K20" s="13">
        <f t="shared" si="2"/>
        <v>44432</v>
      </c>
    </row>
    <row r="21" spans="1:15" x14ac:dyDescent="0.25">
      <c r="A21" s="4" t="s">
        <v>54</v>
      </c>
      <c r="B21" s="4" t="s">
        <v>6</v>
      </c>
      <c r="C21" s="4" t="s">
        <v>29</v>
      </c>
      <c r="D21" s="12">
        <v>60</v>
      </c>
      <c r="E21" s="12">
        <v>45</v>
      </c>
      <c r="F21" s="13">
        <v>19442</v>
      </c>
      <c r="G21" s="14">
        <v>0.93</v>
      </c>
      <c r="H21" s="13">
        <v>14322</v>
      </c>
      <c r="I21" s="15">
        <f t="shared" si="0"/>
        <v>0.75</v>
      </c>
      <c r="J21" s="13">
        <f t="shared" si="1"/>
        <v>14581.5</v>
      </c>
      <c r="K21" s="13">
        <f t="shared" si="2"/>
        <v>18081.060000000001</v>
      </c>
      <c r="M21" s="11" t="s">
        <v>55</v>
      </c>
    </row>
    <row r="22" spans="1:15" x14ac:dyDescent="0.25">
      <c r="A22" s="4" t="s">
        <v>56</v>
      </c>
      <c r="B22" s="4" t="s">
        <v>6</v>
      </c>
      <c r="C22" s="4" t="s">
        <v>27</v>
      </c>
      <c r="D22" s="12">
        <v>2006</v>
      </c>
      <c r="E22" s="12">
        <v>1696</v>
      </c>
      <c r="F22" s="13">
        <v>101704</v>
      </c>
      <c r="G22" s="14">
        <v>1</v>
      </c>
      <c r="H22" s="13">
        <v>93617</v>
      </c>
      <c r="I22" s="15">
        <f t="shared" si="0"/>
        <v>0.84546360917248253</v>
      </c>
      <c r="J22" s="13">
        <f t="shared" si="1"/>
        <v>85987.030907278167</v>
      </c>
      <c r="K22" s="13">
        <f t="shared" si="2"/>
        <v>101704</v>
      </c>
      <c r="M22" s="16" t="s">
        <v>57</v>
      </c>
      <c r="O22" s="21">
        <f>SUMPRODUCT((D5:D766&gt;0)*(E5:E766&gt;D5:D766))</f>
        <v>3</v>
      </c>
    </row>
    <row r="23" spans="1:15" x14ac:dyDescent="0.25">
      <c r="A23" s="4" t="s">
        <v>58</v>
      </c>
      <c r="B23" s="4" t="s">
        <v>6</v>
      </c>
      <c r="C23" s="4" t="s">
        <v>32</v>
      </c>
      <c r="D23" s="12">
        <v>599</v>
      </c>
      <c r="E23" s="12">
        <v>481</v>
      </c>
      <c r="F23" s="13">
        <v>18437</v>
      </c>
      <c r="G23" s="14">
        <v>0.89</v>
      </c>
      <c r="H23" s="13">
        <v>15595</v>
      </c>
      <c r="I23" s="15">
        <f t="shared" si="0"/>
        <v>0.80300500834724542</v>
      </c>
      <c r="J23" s="13">
        <f t="shared" si="1"/>
        <v>14805.003338898165</v>
      </c>
      <c r="K23" s="13">
        <f t="shared" si="2"/>
        <v>16408.93</v>
      </c>
      <c r="M23" s="16" t="s">
        <v>59</v>
      </c>
      <c r="O23" s="21">
        <f>SUMPRODUCT(--(F5:F766&lt;=0))</f>
        <v>1</v>
      </c>
    </row>
    <row r="24" spans="1:15" x14ac:dyDescent="0.25">
      <c r="A24" s="4" t="s">
        <v>60</v>
      </c>
      <c r="B24" s="4" t="s">
        <v>6</v>
      </c>
      <c r="C24" s="4" t="s">
        <v>29</v>
      </c>
      <c r="D24" s="12">
        <v>500</v>
      </c>
      <c r="E24" s="12">
        <v>469</v>
      </c>
      <c r="F24" s="13">
        <v>126100</v>
      </c>
      <c r="G24" s="14">
        <v>1</v>
      </c>
      <c r="H24" s="13">
        <v>111896</v>
      </c>
      <c r="I24" s="15">
        <f t="shared" si="0"/>
        <v>0.93799999999999994</v>
      </c>
      <c r="J24" s="13">
        <f t="shared" si="1"/>
        <v>118281.79999999999</v>
      </c>
      <c r="K24" s="13">
        <f t="shared" si="2"/>
        <v>126100</v>
      </c>
      <c r="M24" s="16" t="s">
        <v>61</v>
      </c>
      <c r="O24" s="21">
        <f>SUMPRODUCT(--ISNA(MATCH(C5:C766,{"pulg_diam";"kg";"m";"m2";"m3";"und"},0)))</f>
        <v>2</v>
      </c>
    </row>
    <row r="25" spans="1:15" x14ac:dyDescent="0.25">
      <c r="A25" s="4" t="s">
        <v>62</v>
      </c>
      <c r="B25" s="4" t="s">
        <v>6</v>
      </c>
      <c r="C25" s="4" t="s">
        <v>45</v>
      </c>
      <c r="D25" s="12">
        <v>8569</v>
      </c>
      <c r="E25" s="12">
        <v>7657</v>
      </c>
      <c r="F25" s="13">
        <v>26135</v>
      </c>
      <c r="G25" s="14">
        <v>0.99</v>
      </c>
      <c r="H25" s="13">
        <v>22320</v>
      </c>
      <c r="I25" s="15">
        <f t="shared" si="0"/>
        <v>0.89356984478935697</v>
      </c>
      <c r="J25" s="13">
        <f t="shared" si="1"/>
        <v>23353.447893569846</v>
      </c>
      <c r="K25" s="13">
        <f t="shared" si="2"/>
        <v>25873.65</v>
      </c>
      <c r="M25" s="16" t="s">
        <v>63</v>
      </c>
      <c r="O25" s="21">
        <f>COUNTA(A5:A766)-SUMPRODUCT(1/COUNTIF(A5:A766,A5:A766))</f>
        <v>1</v>
      </c>
    </row>
    <row r="26" spans="1:15" x14ac:dyDescent="0.25">
      <c r="A26" s="4" t="s">
        <v>64</v>
      </c>
      <c r="B26" s="4" t="s">
        <v>6</v>
      </c>
      <c r="C26" s="4" t="s">
        <v>29</v>
      </c>
      <c r="D26" s="12">
        <v>706</v>
      </c>
      <c r="E26" s="12">
        <v>651</v>
      </c>
      <c r="F26" s="13">
        <v>193211</v>
      </c>
      <c r="G26" s="14">
        <v>1</v>
      </c>
      <c r="H26" s="13">
        <v>181164</v>
      </c>
      <c r="I26" s="15">
        <f t="shared" si="0"/>
        <v>0.92209631728045327</v>
      </c>
      <c r="J26" s="13">
        <f t="shared" si="1"/>
        <v>178159.15155807364</v>
      </c>
      <c r="K26" s="13">
        <f t="shared" si="2"/>
        <v>193211</v>
      </c>
      <c r="M26" s="16" t="s">
        <v>65</v>
      </c>
      <c r="O26" s="22">
        <f>O22+O23+O24+O25</f>
        <v>7</v>
      </c>
    </row>
    <row r="27" spans="1:15" x14ac:dyDescent="0.25">
      <c r="A27" s="4" t="s">
        <v>66</v>
      </c>
      <c r="B27" s="4" t="s">
        <v>6</v>
      </c>
      <c r="C27" s="4" t="s">
        <v>27</v>
      </c>
      <c r="D27" s="12">
        <v>1834</v>
      </c>
      <c r="E27" s="12">
        <v>1738</v>
      </c>
      <c r="F27" s="13">
        <v>45300</v>
      </c>
      <c r="G27" s="14">
        <v>1</v>
      </c>
      <c r="H27" s="13">
        <v>46766</v>
      </c>
      <c r="I27" s="15">
        <f t="shared" si="0"/>
        <v>0.94765539803707743</v>
      </c>
      <c r="J27" s="13">
        <f t="shared" si="1"/>
        <v>42928.789531079608</v>
      </c>
      <c r="K27" s="13">
        <f t="shared" si="2"/>
        <v>45300</v>
      </c>
    </row>
    <row r="28" spans="1:15" x14ac:dyDescent="0.25">
      <c r="A28" s="4" t="s">
        <v>67</v>
      </c>
      <c r="B28" s="4" t="s">
        <v>6</v>
      </c>
      <c r="C28" s="4" t="s">
        <v>27</v>
      </c>
      <c r="D28" s="12">
        <v>881</v>
      </c>
      <c r="E28" s="12">
        <v>681</v>
      </c>
      <c r="F28" s="13">
        <v>46473</v>
      </c>
      <c r="G28" s="14">
        <v>0.96</v>
      </c>
      <c r="H28" s="13">
        <v>35338</v>
      </c>
      <c r="I28" s="15">
        <f t="shared" si="0"/>
        <v>0.77298524404086266</v>
      </c>
      <c r="J28" s="13">
        <f t="shared" si="1"/>
        <v>35922.943246311013</v>
      </c>
      <c r="K28" s="13">
        <f t="shared" si="2"/>
        <v>44614.080000000002</v>
      </c>
    </row>
    <row r="29" spans="1:15" x14ac:dyDescent="0.25">
      <c r="A29" s="4" t="s">
        <v>68</v>
      </c>
      <c r="B29" s="4" t="s">
        <v>6</v>
      </c>
      <c r="C29" s="4" t="s">
        <v>27</v>
      </c>
      <c r="D29" s="12">
        <v>3455</v>
      </c>
      <c r="E29" s="12">
        <v>2923</v>
      </c>
      <c r="F29" s="13">
        <v>170953</v>
      </c>
      <c r="G29" s="14">
        <v>0.99</v>
      </c>
      <c r="H29" s="13">
        <v>142442</v>
      </c>
      <c r="I29" s="15">
        <f t="shared" si="0"/>
        <v>0.84602026049204049</v>
      </c>
      <c r="J29" s="13">
        <f t="shared" si="1"/>
        <v>144629.70159189581</v>
      </c>
      <c r="K29" s="13">
        <f t="shared" si="2"/>
        <v>169243.47</v>
      </c>
    </row>
    <row r="30" spans="1:15" x14ac:dyDescent="0.25">
      <c r="A30" s="4" t="s">
        <v>69</v>
      </c>
      <c r="B30" s="4" t="s">
        <v>6</v>
      </c>
      <c r="C30" s="4" t="s">
        <v>45</v>
      </c>
      <c r="D30" s="12">
        <v>50410</v>
      </c>
      <c r="E30" s="12">
        <v>43250</v>
      </c>
      <c r="F30" s="13">
        <v>84185</v>
      </c>
      <c r="G30" s="14">
        <v>0.95</v>
      </c>
      <c r="H30" s="13">
        <v>80759</v>
      </c>
      <c r="I30" s="15">
        <f t="shared" si="0"/>
        <v>0.85796468954572502</v>
      </c>
      <c r="J30" s="13">
        <f t="shared" si="1"/>
        <v>72227.757389406863</v>
      </c>
      <c r="K30" s="13">
        <f t="shared" si="2"/>
        <v>79975.75</v>
      </c>
    </row>
    <row r="31" spans="1:15" x14ac:dyDescent="0.25">
      <c r="A31" s="4" t="s">
        <v>70</v>
      </c>
      <c r="B31" s="4" t="s">
        <v>6</v>
      </c>
      <c r="C31" s="4" t="s">
        <v>27</v>
      </c>
      <c r="D31" s="12">
        <v>1765</v>
      </c>
      <c r="E31" s="12">
        <v>1683</v>
      </c>
      <c r="F31" s="13">
        <v>89062</v>
      </c>
      <c r="G31" s="14">
        <v>1</v>
      </c>
      <c r="H31" s="13">
        <v>96081</v>
      </c>
      <c r="I31" s="15">
        <f t="shared" si="0"/>
        <v>0.95354107648725217</v>
      </c>
      <c r="J31" s="13">
        <f t="shared" si="1"/>
        <v>84924.275354107653</v>
      </c>
      <c r="K31" s="13">
        <f t="shared" si="2"/>
        <v>89062</v>
      </c>
    </row>
    <row r="32" spans="1:15" x14ac:dyDescent="0.25">
      <c r="A32" s="4" t="s">
        <v>71</v>
      </c>
      <c r="B32" s="4" t="s">
        <v>6</v>
      </c>
      <c r="C32" s="4" t="s">
        <v>27</v>
      </c>
      <c r="D32" s="12">
        <v>492</v>
      </c>
      <c r="E32" s="12">
        <v>385</v>
      </c>
      <c r="F32" s="13">
        <v>14258</v>
      </c>
      <c r="G32" s="14">
        <v>0.89</v>
      </c>
      <c r="H32" s="13">
        <v>12528</v>
      </c>
      <c r="I32" s="15">
        <f t="shared" si="0"/>
        <v>0.78252032520325199</v>
      </c>
      <c r="J32" s="13">
        <f t="shared" si="1"/>
        <v>11157.174796747966</v>
      </c>
      <c r="K32" s="13">
        <f t="shared" si="2"/>
        <v>12689.62</v>
      </c>
    </row>
    <row r="33" spans="1:11" x14ac:dyDescent="0.25">
      <c r="A33" s="4" t="s">
        <v>72</v>
      </c>
      <c r="B33" s="4" t="s">
        <v>6</v>
      </c>
      <c r="C33" s="4" t="s">
        <v>29</v>
      </c>
      <c r="D33" s="12">
        <v>775</v>
      </c>
      <c r="E33" s="12">
        <v>729</v>
      </c>
      <c r="F33" s="13">
        <v>192440</v>
      </c>
      <c r="G33" s="14">
        <v>1</v>
      </c>
      <c r="H33" s="13">
        <v>179002</v>
      </c>
      <c r="I33" s="15">
        <f t="shared" si="0"/>
        <v>0.94064516129032261</v>
      </c>
      <c r="J33" s="13">
        <f t="shared" si="1"/>
        <v>181017.75483870969</v>
      </c>
      <c r="K33" s="13">
        <f t="shared" si="2"/>
        <v>192440</v>
      </c>
    </row>
    <row r="34" spans="1:11" x14ac:dyDescent="0.25">
      <c r="A34" s="4" t="s">
        <v>73</v>
      </c>
      <c r="B34" s="4" t="s">
        <v>6</v>
      </c>
      <c r="C34" s="4" t="s">
        <v>74</v>
      </c>
      <c r="D34" s="12">
        <v>113</v>
      </c>
      <c r="E34" s="12">
        <v>112</v>
      </c>
      <c r="F34" s="13">
        <v>31012</v>
      </c>
      <c r="G34" s="14">
        <v>1</v>
      </c>
      <c r="H34" s="13">
        <v>30718</v>
      </c>
      <c r="I34" s="15">
        <f t="shared" si="0"/>
        <v>0.99115044247787609</v>
      </c>
      <c r="J34" s="13">
        <f t="shared" si="1"/>
        <v>30737.557522123894</v>
      </c>
      <c r="K34" s="13">
        <f t="shared" si="2"/>
        <v>31012</v>
      </c>
    </row>
    <row r="35" spans="1:11" x14ac:dyDescent="0.25">
      <c r="A35" s="4" t="s">
        <v>75</v>
      </c>
      <c r="B35" s="4" t="s">
        <v>6</v>
      </c>
      <c r="C35" s="4" t="s">
        <v>45</v>
      </c>
      <c r="D35" s="12">
        <v>31621</v>
      </c>
      <c r="E35" s="12">
        <v>27588</v>
      </c>
      <c r="F35" s="13">
        <v>94863</v>
      </c>
      <c r="G35" s="14">
        <v>0.92</v>
      </c>
      <c r="H35" s="13">
        <v>91522</v>
      </c>
      <c r="I35" s="15">
        <f t="shared" si="0"/>
        <v>0.87245817652825652</v>
      </c>
      <c r="J35" s="13">
        <f t="shared" si="1"/>
        <v>82764</v>
      </c>
      <c r="K35" s="13">
        <f t="shared" si="2"/>
        <v>87273.96</v>
      </c>
    </row>
    <row r="36" spans="1:11" x14ac:dyDescent="0.25">
      <c r="A36" s="4" t="s">
        <v>76</v>
      </c>
      <c r="B36" s="4" t="s">
        <v>6</v>
      </c>
      <c r="C36" s="4" t="s">
        <v>29</v>
      </c>
      <c r="D36" s="12">
        <v>2862</v>
      </c>
      <c r="E36" s="12">
        <v>2812</v>
      </c>
      <c r="F36" s="13">
        <v>24098</v>
      </c>
      <c r="G36" s="14">
        <v>1</v>
      </c>
      <c r="H36" s="13">
        <v>22679</v>
      </c>
      <c r="I36" s="15">
        <f t="shared" si="0"/>
        <v>0.98252969951083158</v>
      </c>
      <c r="J36" s="13">
        <f t="shared" si="1"/>
        <v>23677.000698812019</v>
      </c>
      <c r="K36" s="13">
        <f t="shared" si="2"/>
        <v>24098</v>
      </c>
    </row>
    <row r="37" spans="1:11" x14ac:dyDescent="0.25">
      <c r="A37" s="4" t="s">
        <v>77</v>
      </c>
      <c r="B37" s="4" t="s">
        <v>6</v>
      </c>
      <c r="C37" s="4" t="s">
        <v>45</v>
      </c>
      <c r="D37" s="12">
        <v>16973</v>
      </c>
      <c r="E37" s="12">
        <v>16668</v>
      </c>
      <c r="F37" s="13">
        <v>31400</v>
      </c>
      <c r="G37" s="14">
        <v>1</v>
      </c>
      <c r="H37" s="13">
        <v>30107</v>
      </c>
      <c r="I37" s="15">
        <f t="shared" si="0"/>
        <v>0.98203028339126852</v>
      </c>
      <c r="J37" s="13">
        <f t="shared" si="1"/>
        <v>30835.750898485832</v>
      </c>
      <c r="K37" s="13">
        <f t="shared" si="2"/>
        <v>31400</v>
      </c>
    </row>
    <row r="38" spans="1:11" x14ac:dyDescent="0.25">
      <c r="A38" s="4" t="s">
        <v>78</v>
      </c>
      <c r="B38" s="4" t="s">
        <v>6</v>
      </c>
      <c r="C38" s="4" t="s">
        <v>45</v>
      </c>
      <c r="D38" s="12">
        <v>54294</v>
      </c>
      <c r="E38" s="12">
        <v>47885</v>
      </c>
      <c r="F38" s="13">
        <v>84156</v>
      </c>
      <c r="G38" s="14">
        <v>1</v>
      </c>
      <c r="H38" s="13">
        <v>83408</v>
      </c>
      <c r="I38" s="15">
        <f t="shared" si="0"/>
        <v>0.88195749069878804</v>
      </c>
      <c r="J38" s="13">
        <f t="shared" si="1"/>
        <v>74222.014587247206</v>
      </c>
      <c r="K38" s="13">
        <f t="shared" si="2"/>
        <v>84156</v>
      </c>
    </row>
    <row r="39" spans="1:11" x14ac:dyDescent="0.25">
      <c r="A39" s="4" t="s">
        <v>79</v>
      </c>
      <c r="B39" s="4" t="s">
        <v>6</v>
      </c>
      <c r="C39" s="4" t="s">
        <v>45</v>
      </c>
      <c r="D39" s="12">
        <v>21122</v>
      </c>
      <c r="E39" s="12">
        <v>18212</v>
      </c>
      <c r="F39" s="13">
        <v>45412</v>
      </c>
      <c r="G39" s="14">
        <v>1</v>
      </c>
      <c r="H39" s="13">
        <v>39496</v>
      </c>
      <c r="I39" s="15">
        <f t="shared" si="0"/>
        <v>0.86222895559132662</v>
      </c>
      <c r="J39" s="13">
        <f t="shared" si="1"/>
        <v>39155.541331313325</v>
      </c>
      <c r="K39" s="13">
        <f t="shared" si="2"/>
        <v>45412</v>
      </c>
    </row>
    <row r="40" spans="1:11" x14ac:dyDescent="0.25">
      <c r="A40" s="4" t="s">
        <v>80</v>
      </c>
      <c r="B40" s="4" t="s">
        <v>6</v>
      </c>
      <c r="C40" s="4" t="s">
        <v>29</v>
      </c>
      <c r="D40" s="12">
        <v>387</v>
      </c>
      <c r="E40" s="12">
        <v>312</v>
      </c>
      <c r="F40" s="13">
        <v>119448</v>
      </c>
      <c r="G40" s="14">
        <v>0.87</v>
      </c>
      <c r="H40" s="13">
        <v>103236</v>
      </c>
      <c r="I40" s="15">
        <f t="shared" si="0"/>
        <v>0.80620155038759689</v>
      </c>
      <c r="J40" s="13">
        <f t="shared" si="1"/>
        <v>96299.162790697679</v>
      </c>
      <c r="K40" s="13">
        <f t="shared" si="2"/>
        <v>103919.76</v>
      </c>
    </row>
    <row r="41" spans="1:11" x14ac:dyDescent="0.25">
      <c r="A41" s="4" t="s">
        <v>81</v>
      </c>
      <c r="B41" s="4" t="s">
        <v>6</v>
      </c>
      <c r="C41" s="4" t="s">
        <v>27</v>
      </c>
      <c r="D41" s="12">
        <v>3013</v>
      </c>
      <c r="E41" s="12">
        <v>2992</v>
      </c>
      <c r="F41" s="13">
        <v>122117</v>
      </c>
      <c r="G41" s="14">
        <v>1</v>
      </c>
      <c r="H41" s="13">
        <v>130959</v>
      </c>
      <c r="I41" s="15">
        <f t="shared" si="0"/>
        <v>0.99303020245602391</v>
      </c>
      <c r="J41" s="13">
        <f t="shared" si="1"/>
        <v>121265.86923332227</v>
      </c>
      <c r="K41" s="13">
        <f t="shared" si="2"/>
        <v>122117</v>
      </c>
    </row>
    <row r="42" spans="1:11" x14ac:dyDescent="0.25">
      <c r="A42" s="4" t="s">
        <v>82</v>
      </c>
      <c r="B42" s="4" t="s">
        <v>6</v>
      </c>
      <c r="C42" s="4" t="s">
        <v>29</v>
      </c>
      <c r="D42" s="12">
        <v>4386</v>
      </c>
      <c r="E42" s="12">
        <v>3409</v>
      </c>
      <c r="F42" s="13">
        <v>29693</v>
      </c>
      <c r="G42" s="14">
        <v>0.95</v>
      </c>
      <c r="H42" s="13">
        <v>25526</v>
      </c>
      <c r="I42" s="15">
        <f t="shared" si="0"/>
        <v>0.77724578203374373</v>
      </c>
      <c r="J42" s="13">
        <f t="shared" si="1"/>
        <v>23078.759005927954</v>
      </c>
      <c r="K42" s="13">
        <f t="shared" si="2"/>
        <v>28208.35</v>
      </c>
    </row>
    <row r="43" spans="1:11" x14ac:dyDescent="0.25">
      <c r="A43" s="4" t="s">
        <v>83</v>
      </c>
      <c r="B43" s="4" t="s">
        <v>6</v>
      </c>
      <c r="C43" s="4" t="s">
        <v>32</v>
      </c>
      <c r="D43" s="12">
        <v>1605</v>
      </c>
      <c r="E43" s="12">
        <v>1485</v>
      </c>
      <c r="F43" s="13">
        <v>82593</v>
      </c>
      <c r="G43" s="14">
        <v>1</v>
      </c>
      <c r="H43" s="13">
        <v>74789</v>
      </c>
      <c r="I43" s="15">
        <f t="shared" si="0"/>
        <v>0.92523364485981308</v>
      </c>
      <c r="J43" s="13">
        <f t="shared" si="1"/>
        <v>76417.822429906548</v>
      </c>
      <c r="K43" s="13">
        <f t="shared" si="2"/>
        <v>82593</v>
      </c>
    </row>
    <row r="44" spans="1:11" x14ac:dyDescent="0.25">
      <c r="A44" s="4" t="s">
        <v>84</v>
      </c>
      <c r="B44" s="4" t="s">
        <v>6</v>
      </c>
      <c r="C44" s="4" t="s">
        <v>29</v>
      </c>
      <c r="D44" s="12">
        <v>752</v>
      </c>
      <c r="E44" s="12">
        <v>732</v>
      </c>
      <c r="F44" s="13">
        <v>194565</v>
      </c>
      <c r="G44" s="14">
        <v>1</v>
      </c>
      <c r="H44" s="13">
        <v>183459</v>
      </c>
      <c r="I44" s="15">
        <f t="shared" si="0"/>
        <v>0.97340425531914898</v>
      </c>
      <c r="J44" s="13">
        <f t="shared" si="1"/>
        <v>189390.39893617021</v>
      </c>
      <c r="K44" s="13">
        <f t="shared" si="2"/>
        <v>194565</v>
      </c>
    </row>
    <row r="45" spans="1:11" x14ac:dyDescent="0.25">
      <c r="A45" s="4" t="s">
        <v>85</v>
      </c>
      <c r="B45" s="4" t="s">
        <v>6</v>
      </c>
      <c r="C45" s="4" t="s">
        <v>29</v>
      </c>
      <c r="D45" s="12">
        <v>9481</v>
      </c>
      <c r="E45" s="12">
        <v>8952</v>
      </c>
      <c r="F45" s="13">
        <v>83907</v>
      </c>
      <c r="G45" s="14">
        <v>0.98</v>
      </c>
      <c r="H45" s="13">
        <v>89510</v>
      </c>
      <c r="I45" s="15">
        <f t="shared" si="0"/>
        <v>0.94420419786942311</v>
      </c>
      <c r="J45" s="13">
        <f t="shared" si="1"/>
        <v>79225.341630629686</v>
      </c>
      <c r="K45" s="13">
        <f t="shared" si="2"/>
        <v>82228.86</v>
      </c>
    </row>
    <row r="46" spans="1:11" x14ac:dyDescent="0.25">
      <c r="A46" s="4" t="s">
        <v>86</v>
      </c>
      <c r="B46" s="4" t="s">
        <v>6</v>
      </c>
      <c r="C46" s="4" t="s">
        <v>29</v>
      </c>
      <c r="D46" s="12">
        <v>521</v>
      </c>
      <c r="E46" s="12">
        <v>407</v>
      </c>
      <c r="F46" s="13">
        <v>119882</v>
      </c>
      <c r="G46" s="14">
        <v>0.91</v>
      </c>
      <c r="H46" s="13">
        <v>98703</v>
      </c>
      <c r="I46" s="15">
        <f t="shared" si="0"/>
        <v>0.781190019193858</v>
      </c>
      <c r="J46" s="13">
        <f t="shared" si="1"/>
        <v>93650.621880998078</v>
      </c>
      <c r="K46" s="13">
        <f t="shared" si="2"/>
        <v>109092.62000000001</v>
      </c>
    </row>
    <row r="47" spans="1:11" x14ac:dyDescent="0.25">
      <c r="A47" s="4" t="s">
        <v>87</v>
      </c>
      <c r="B47" s="4" t="s">
        <v>6</v>
      </c>
      <c r="C47" s="4" t="s">
        <v>29</v>
      </c>
      <c r="D47" s="12">
        <v>5444</v>
      </c>
      <c r="E47" s="12">
        <v>4134</v>
      </c>
      <c r="F47" s="13">
        <v>50793</v>
      </c>
      <c r="G47" s="14">
        <v>0.91</v>
      </c>
      <c r="H47" s="13">
        <v>42423</v>
      </c>
      <c r="I47" s="15">
        <f t="shared" si="0"/>
        <v>0.75936811168258633</v>
      </c>
      <c r="J47" s="13">
        <f t="shared" si="1"/>
        <v>38570.584496693606</v>
      </c>
      <c r="K47" s="13">
        <f t="shared" si="2"/>
        <v>46221.630000000005</v>
      </c>
    </row>
    <row r="48" spans="1:11" x14ac:dyDescent="0.25">
      <c r="A48" s="4" t="s">
        <v>88</v>
      </c>
      <c r="B48" s="4" t="s">
        <v>6</v>
      </c>
      <c r="C48" s="4" t="s">
        <v>29</v>
      </c>
      <c r="D48" s="12">
        <v>57</v>
      </c>
      <c r="E48" s="12">
        <v>56</v>
      </c>
      <c r="F48" s="13">
        <v>21076</v>
      </c>
      <c r="G48" s="14">
        <v>1</v>
      </c>
      <c r="H48" s="13">
        <v>22771</v>
      </c>
      <c r="I48" s="15">
        <f t="shared" si="0"/>
        <v>0.98245614035087714</v>
      </c>
      <c r="J48" s="13">
        <f t="shared" si="1"/>
        <v>20706.245614035088</v>
      </c>
      <c r="K48" s="13">
        <f t="shared" si="2"/>
        <v>21076</v>
      </c>
    </row>
    <row r="49" spans="1:11" x14ac:dyDescent="0.25">
      <c r="A49" s="4" t="s">
        <v>89</v>
      </c>
      <c r="B49" s="4" t="s">
        <v>6</v>
      </c>
      <c r="C49" s="4" t="s">
        <v>29</v>
      </c>
      <c r="D49" s="12">
        <v>262</v>
      </c>
      <c r="E49" s="12">
        <v>238</v>
      </c>
      <c r="F49" s="13">
        <v>71568</v>
      </c>
      <c r="G49" s="14">
        <v>1</v>
      </c>
      <c r="H49" s="13">
        <v>61893</v>
      </c>
      <c r="I49" s="15">
        <f t="shared" si="0"/>
        <v>0.90839694656488545</v>
      </c>
      <c r="J49" s="13">
        <f t="shared" si="1"/>
        <v>65012.152671755721</v>
      </c>
      <c r="K49" s="13">
        <f t="shared" si="2"/>
        <v>71568</v>
      </c>
    </row>
    <row r="50" spans="1:11" x14ac:dyDescent="0.25">
      <c r="A50" s="4" t="s">
        <v>90</v>
      </c>
      <c r="B50" s="4" t="s">
        <v>6</v>
      </c>
      <c r="C50" s="4" t="s">
        <v>29</v>
      </c>
      <c r="D50" s="12">
        <v>1501</v>
      </c>
      <c r="E50" s="12">
        <v>1290</v>
      </c>
      <c r="F50" s="13">
        <v>13509</v>
      </c>
      <c r="G50" s="14">
        <v>1</v>
      </c>
      <c r="H50" s="13">
        <v>11633</v>
      </c>
      <c r="I50" s="15">
        <f t="shared" si="0"/>
        <v>0.8594270486342438</v>
      </c>
      <c r="J50" s="13">
        <f t="shared" si="1"/>
        <v>11610</v>
      </c>
      <c r="K50" s="13">
        <f t="shared" si="2"/>
        <v>13509</v>
      </c>
    </row>
    <row r="51" spans="1:11" x14ac:dyDescent="0.25">
      <c r="A51" s="4" t="s">
        <v>91</v>
      </c>
      <c r="B51" s="4" t="s">
        <v>6</v>
      </c>
      <c r="C51" s="4" t="s">
        <v>29</v>
      </c>
      <c r="D51" s="12">
        <v>4478</v>
      </c>
      <c r="E51" s="12">
        <v>3470</v>
      </c>
      <c r="F51" s="13">
        <v>41332</v>
      </c>
      <c r="G51" s="14">
        <v>0.86</v>
      </c>
      <c r="H51" s="13">
        <v>33183</v>
      </c>
      <c r="I51" s="15">
        <f t="shared" si="0"/>
        <v>0.77489950870924518</v>
      </c>
      <c r="J51" s="13">
        <f t="shared" si="1"/>
        <v>32028.146493970522</v>
      </c>
      <c r="K51" s="13">
        <f t="shared" si="2"/>
        <v>35545.519999999997</v>
      </c>
    </row>
    <row r="52" spans="1:11" x14ac:dyDescent="0.25">
      <c r="A52" s="4" t="s">
        <v>92</v>
      </c>
      <c r="B52" s="4" t="s">
        <v>6</v>
      </c>
      <c r="C52" s="4" t="s">
        <v>29</v>
      </c>
      <c r="D52" s="12">
        <v>197</v>
      </c>
      <c r="E52" s="12">
        <v>194</v>
      </c>
      <c r="F52" s="13">
        <v>59486</v>
      </c>
      <c r="G52" s="14">
        <v>1</v>
      </c>
      <c r="H52" s="13">
        <v>59044</v>
      </c>
      <c r="I52" s="15">
        <f t="shared" si="0"/>
        <v>0.98477157360406087</v>
      </c>
      <c r="J52" s="13">
        <f t="shared" si="1"/>
        <v>58580.121827411167</v>
      </c>
      <c r="K52" s="13">
        <f t="shared" si="2"/>
        <v>59486</v>
      </c>
    </row>
    <row r="53" spans="1:11" x14ac:dyDescent="0.25">
      <c r="A53" s="4" t="s">
        <v>93</v>
      </c>
      <c r="B53" s="4" t="s">
        <v>6</v>
      </c>
      <c r="C53" s="4" t="s">
        <v>45</v>
      </c>
      <c r="D53" s="12">
        <v>30766</v>
      </c>
      <c r="E53" s="12">
        <v>24549</v>
      </c>
      <c r="F53" s="13">
        <v>51995</v>
      </c>
      <c r="G53" s="14">
        <v>0.88</v>
      </c>
      <c r="H53" s="13">
        <v>40851</v>
      </c>
      <c r="I53" s="15">
        <f t="shared" si="0"/>
        <v>0.79792628225963724</v>
      </c>
      <c r="J53" s="13">
        <f t="shared" si="1"/>
        <v>41488.177046089841</v>
      </c>
      <c r="K53" s="13">
        <f t="shared" si="2"/>
        <v>45755.6</v>
      </c>
    </row>
    <row r="54" spans="1:11" x14ac:dyDescent="0.25">
      <c r="A54" s="4" t="s">
        <v>94</v>
      </c>
      <c r="B54" s="4" t="s">
        <v>6</v>
      </c>
      <c r="C54" s="4" t="s">
        <v>29</v>
      </c>
      <c r="D54" s="12">
        <v>2444</v>
      </c>
      <c r="E54" s="12">
        <v>2316</v>
      </c>
      <c r="F54" s="13">
        <v>25418</v>
      </c>
      <c r="G54" s="14">
        <v>0.99</v>
      </c>
      <c r="H54" s="13">
        <v>23729</v>
      </c>
      <c r="I54" s="15">
        <f t="shared" si="0"/>
        <v>0.94762684124386254</v>
      </c>
      <c r="J54" s="13">
        <f t="shared" si="1"/>
        <v>24086.779050736499</v>
      </c>
      <c r="K54" s="13">
        <f t="shared" si="2"/>
        <v>25163.82</v>
      </c>
    </row>
    <row r="55" spans="1:11" x14ac:dyDescent="0.25">
      <c r="A55" s="4" t="s">
        <v>95</v>
      </c>
      <c r="B55" s="4" t="s">
        <v>6</v>
      </c>
      <c r="C55" s="4" t="s">
        <v>27</v>
      </c>
      <c r="D55" s="12">
        <v>2581</v>
      </c>
      <c r="E55" s="12">
        <v>2283</v>
      </c>
      <c r="F55" s="13">
        <v>110828</v>
      </c>
      <c r="G55" s="14">
        <v>1</v>
      </c>
      <c r="H55" s="13">
        <v>104437</v>
      </c>
      <c r="I55" s="15">
        <f t="shared" si="0"/>
        <v>0.88454087562960093</v>
      </c>
      <c r="J55" s="13">
        <f t="shared" si="1"/>
        <v>98031.896164277408</v>
      </c>
      <c r="K55" s="13">
        <f t="shared" si="2"/>
        <v>110828</v>
      </c>
    </row>
    <row r="56" spans="1:11" x14ac:dyDescent="0.25">
      <c r="A56" s="4" t="s">
        <v>96</v>
      </c>
      <c r="B56" s="4" t="s">
        <v>6</v>
      </c>
      <c r="C56" s="4" t="s">
        <v>29</v>
      </c>
      <c r="D56" s="12">
        <v>7641</v>
      </c>
      <c r="E56" s="12">
        <v>6263</v>
      </c>
      <c r="F56" s="13">
        <v>60287</v>
      </c>
      <c r="G56" s="14">
        <v>0.91</v>
      </c>
      <c r="H56" s="13">
        <v>48226</v>
      </c>
      <c r="I56" s="15">
        <f t="shared" si="0"/>
        <v>0.81965711294333199</v>
      </c>
      <c r="J56" s="13">
        <f t="shared" si="1"/>
        <v>49414.668368014653</v>
      </c>
      <c r="K56" s="13">
        <f t="shared" si="2"/>
        <v>54861.17</v>
      </c>
    </row>
    <row r="57" spans="1:11" x14ac:dyDescent="0.25">
      <c r="A57" s="4" t="s">
        <v>97</v>
      </c>
      <c r="B57" s="4" t="s">
        <v>6</v>
      </c>
      <c r="C57" s="4" t="s">
        <v>27</v>
      </c>
      <c r="D57" s="12">
        <v>3994</v>
      </c>
      <c r="E57" s="12">
        <v>3834</v>
      </c>
      <c r="F57" s="13">
        <v>199700</v>
      </c>
      <c r="G57" s="14">
        <v>1</v>
      </c>
      <c r="H57" s="13">
        <v>217256</v>
      </c>
      <c r="I57" s="15">
        <f t="shared" si="0"/>
        <v>0.95993990986479716</v>
      </c>
      <c r="J57" s="13">
        <f t="shared" si="1"/>
        <v>191700</v>
      </c>
      <c r="K57" s="13">
        <f t="shared" si="2"/>
        <v>199700</v>
      </c>
    </row>
    <row r="58" spans="1:11" x14ac:dyDescent="0.25">
      <c r="A58" s="4" t="s">
        <v>98</v>
      </c>
      <c r="B58" s="4" t="s">
        <v>6</v>
      </c>
      <c r="C58" s="4" t="s">
        <v>29</v>
      </c>
      <c r="D58" s="12">
        <v>5362</v>
      </c>
      <c r="E58" s="12">
        <v>4727</v>
      </c>
      <c r="F58" s="13">
        <v>48633</v>
      </c>
      <c r="G58" s="14">
        <v>1</v>
      </c>
      <c r="H58" s="13">
        <v>43891</v>
      </c>
      <c r="I58" s="15">
        <f t="shared" si="0"/>
        <v>0.88157403953748603</v>
      </c>
      <c r="J58" s="13">
        <f t="shared" si="1"/>
        <v>42873.590264826555</v>
      </c>
      <c r="K58" s="13">
        <f t="shared" si="2"/>
        <v>48633</v>
      </c>
    </row>
    <row r="59" spans="1:11" x14ac:dyDescent="0.25">
      <c r="A59" s="4" t="s">
        <v>99</v>
      </c>
      <c r="B59" s="4" t="s">
        <v>6</v>
      </c>
      <c r="C59" s="4" t="s">
        <v>27</v>
      </c>
      <c r="D59" s="12">
        <v>1000</v>
      </c>
      <c r="E59" s="12">
        <v>757</v>
      </c>
      <c r="F59" s="13">
        <v>25880</v>
      </c>
      <c r="G59" s="14">
        <v>0.86</v>
      </c>
      <c r="H59" s="13">
        <v>20812</v>
      </c>
      <c r="I59" s="15">
        <f t="shared" si="0"/>
        <v>0.75700000000000001</v>
      </c>
      <c r="J59" s="13">
        <f t="shared" si="1"/>
        <v>19591.16</v>
      </c>
      <c r="K59" s="13">
        <f t="shared" si="2"/>
        <v>22256.799999999999</v>
      </c>
    </row>
    <row r="60" spans="1:11" x14ac:dyDescent="0.25">
      <c r="A60" s="4" t="s">
        <v>100</v>
      </c>
      <c r="B60" s="4" t="s">
        <v>6</v>
      </c>
      <c r="C60" s="4" t="s">
        <v>29</v>
      </c>
      <c r="D60" s="12">
        <v>425</v>
      </c>
      <c r="E60" s="12">
        <v>388</v>
      </c>
      <c r="F60" s="13">
        <v>125281</v>
      </c>
      <c r="G60" s="14">
        <v>0.96</v>
      </c>
      <c r="H60" s="13">
        <v>116957</v>
      </c>
      <c r="I60" s="15">
        <f t="shared" si="0"/>
        <v>0.91294117647058826</v>
      </c>
      <c r="J60" s="13">
        <f t="shared" si="1"/>
        <v>114374.18352941176</v>
      </c>
      <c r="K60" s="13">
        <f t="shared" si="2"/>
        <v>120269.75999999999</v>
      </c>
    </row>
    <row r="61" spans="1:11" x14ac:dyDescent="0.25">
      <c r="A61" s="4" t="s">
        <v>101</v>
      </c>
      <c r="B61" s="4" t="s">
        <v>6</v>
      </c>
      <c r="C61" s="4" t="s">
        <v>45</v>
      </c>
      <c r="D61" s="12">
        <v>41973</v>
      </c>
      <c r="E61" s="12">
        <v>33517</v>
      </c>
      <c r="F61" s="13">
        <v>63379</v>
      </c>
      <c r="G61" s="14">
        <v>0.98</v>
      </c>
      <c r="H61" s="13">
        <v>53600</v>
      </c>
      <c r="I61" s="15">
        <f t="shared" si="0"/>
        <v>0.79853715483763377</v>
      </c>
      <c r="J61" s="13">
        <f t="shared" si="1"/>
        <v>50610.486336454393</v>
      </c>
      <c r="K61" s="13">
        <f t="shared" si="2"/>
        <v>62111.42</v>
      </c>
    </row>
    <row r="62" spans="1:11" x14ac:dyDescent="0.25">
      <c r="A62" s="4" t="s">
        <v>102</v>
      </c>
      <c r="B62" s="4" t="s">
        <v>6</v>
      </c>
      <c r="C62" s="4" t="s">
        <v>27</v>
      </c>
      <c r="D62" s="12">
        <v>1312</v>
      </c>
      <c r="E62" s="12">
        <v>1196</v>
      </c>
      <c r="F62" s="13">
        <v>31396</v>
      </c>
      <c r="G62" s="14">
        <v>0.96</v>
      </c>
      <c r="H62" s="13">
        <v>27871</v>
      </c>
      <c r="I62" s="15">
        <f t="shared" si="0"/>
        <v>0.91158536585365857</v>
      </c>
      <c r="J62" s="13">
        <f t="shared" si="1"/>
        <v>28620.134146341465</v>
      </c>
      <c r="K62" s="13">
        <f t="shared" si="2"/>
        <v>30140.16</v>
      </c>
    </row>
    <row r="63" spans="1:11" x14ac:dyDescent="0.25">
      <c r="A63" s="4" t="s">
        <v>103</v>
      </c>
      <c r="B63" s="4" t="s">
        <v>6</v>
      </c>
      <c r="C63" s="4" t="s">
        <v>27</v>
      </c>
      <c r="D63" s="12">
        <v>1313</v>
      </c>
      <c r="E63" s="12">
        <v>1060</v>
      </c>
      <c r="F63" s="13">
        <v>32733</v>
      </c>
      <c r="G63" s="14">
        <v>0.92</v>
      </c>
      <c r="H63" s="13">
        <v>30019</v>
      </c>
      <c r="I63" s="15">
        <f t="shared" si="0"/>
        <v>0.80731150038080735</v>
      </c>
      <c r="J63" s="13">
        <f t="shared" si="1"/>
        <v>26425.727341964968</v>
      </c>
      <c r="K63" s="13">
        <f t="shared" si="2"/>
        <v>30114.36</v>
      </c>
    </row>
    <row r="64" spans="1:11" x14ac:dyDescent="0.25">
      <c r="A64" s="4" t="s">
        <v>104</v>
      </c>
      <c r="B64" s="4" t="s">
        <v>6</v>
      </c>
      <c r="C64" s="4" t="s">
        <v>29</v>
      </c>
      <c r="D64" s="12">
        <v>142</v>
      </c>
      <c r="E64" s="12">
        <v>120</v>
      </c>
      <c r="F64" s="13">
        <v>48632</v>
      </c>
      <c r="G64" s="14">
        <v>0.96</v>
      </c>
      <c r="H64" s="13">
        <v>40340</v>
      </c>
      <c r="I64" s="15">
        <f t="shared" si="0"/>
        <v>0.84507042253521125</v>
      </c>
      <c r="J64" s="13">
        <f t="shared" si="1"/>
        <v>41097.464788732395</v>
      </c>
      <c r="K64" s="13">
        <f t="shared" si="2"/>
        <v>46686.720000000001</v>
      </c>
    </row>
    <row r="65" spans="1:11" x14ac:dyDescent="0.25">
      <c r="A65" s="4" t="s">
        <v>105</v>
      </c>
      <c r="B65" s="4" t="s">
        <v>6</v>
      </c>
      <c r="C65" s="4" t="s">
        <v>29</v>
      </c>
      <c r="D65" s="12">
        <v>172</v>
      </c>
      <c r="E65" s="12">
        <v>159</v>
      </c>
      <c r="F65" s="13">
        <v>54171</v>
      </c>
      <c r="G65" s="14">
        <v>1</v>
      </c>
      <c r="H65" s="13">
        <v>54255</v>
      </c>
      <c r="I65" s="15">
        <f t="shared" si="0"/>
        <v>0.92441860465116277</v>
      </c>
      <c r="J65" s="13">
        <f t="shared" si="1"/>
        <v>50076.680232558138</v>
      </c>
      <c r="K65" s="13">
        <f t="shared" si="2"/>
        <v>54171</v>
      </c>
    </row>
    <row r="66" spans="1:11" x14ac:dyDescent="0.25">
      <c r="A66" s="4" t="s">
        <v>106</v>
      </c>
      <c r="B66" s="4" t="s">
        <v>6</v>
      </c>
      <c r="C66" s="4" t="s">
        <v>29</v>
      </c>
      <c r="D66" s="12">
        <v>2457</v>
      </c>
      <c r="E66" s="12">
        <v>2065</v>
      </c>
      <c r="F66" s="13">
        <v>20590</v>
      </c>
      <c r="G66" s="14">
        <v>0.94</v>
      </c>
      <c r="H66" s="13">
        <v>18377</v>
      </c>
      <c r="I66" s="15">
        <f t="shared" si="0"/>
        <v>0.84045584045584043</v>
      </c>
      <c r="J66" s="13">
        <f t="shared" si="1"/>
        <v>17304.985754985755</v>
      </c>
      <c r="K66" s="13">
        <f t="shared" si="2"/>
        <v>19354.599999999999</v>
      </c>
    </row>
    <row r="67" spans="1:11" x14ac:dyDescent="0.25">
      <c r="A67" s="4" t="s">
        <v>107</v>
      </c>
      <c r="B67" s="4" t="s">
        <v>6</v>
      </c>
      <c r="C67" s="4" t="s">
        <v>45</v>
      </c>
      <c r="D67" s="12">
        <v>20690</v>
      </c>
      <c r="E67" s="12">
        <v>15552</v>
      </c>
      <c r="F67" s="13">
        <v>36208</v>
      </c>
      <c r="G67" s="14">
        <v>0.84</v>
      </c>
      <c r="H67" s="13">
        <v>30434</v>
      </c>
      <c r="I67" s="15">
        <f t="shared" si="0"/>
        <v>0.75166747220879648</v>
      </c>
      <c r="J67" s="13">
        <f t="shared" si="1"/>
        <v>27216.375833736103</v>
      </c>
      <c r="K67" s="13">
        <f t="shared" si="2"/>
        <v>30414.719999999998</v>
      </c>
    </row>
    <row r="68" spans="1:11" x14ac:dyDescent="0.25">
      <c r="A68" s="4" t="s">
        <v>108</v>
      </c>
      <c r="B68" s="4" t="s">
        <v>6</v>
      </c>
      <c r="C68" s="4" t="s">
        <v>27</v>
      </c>
      <c r="D68" s="12">
        <v>3911</v>
      </c>
      <c r="E68" s="12">
        <v>3760</v>
      </c>
      <c r="F68" s="13">
        <v>213345</v>
      </c>
      <c r="G68" s="14">
        <v>1</v>
      </c>
      <c r="H68" s="13">
        <v>225633</v>
      </c>
      <c r="I68" s="15">
        <f t="shared" si="0"/>
        <v>0.96139094860649454</v>
      </c>
      <c r="J68" s="13">
        <f t="shared" si="1"/>
        <v>205107.95193045257</v>
      </c>
      <c r="K68" s="13">
        <f t="shared" si="2"/>
        <v>213345</v>
      </c>
    </row>
    <row r="69" spans="1:11" x14ac:dyDescent="0.25">
      <c r="A69" s="4" t="s">
        <v>109</v>
      </c>
      <c r="B69" s="4" t="s">
        <v>6</v>
      </c>
      <c r="C69" s="4" t="s">
        <v>27</v>
      </c>
      <c r="D69" s="12">
        <v>729</v>
      </c>
      <c r="E69" s="12">
        <v>637</v>
      </c>
      <c r="F69" s="13">
        <v>14631</v>
      </c>
      <c r="G69" s="14">
        <v>0.95</v>
      </c>
      <c r="H69" s="13">
        <v>14424</v>
      </c>
      <c r="I69" s="15">
        <f t="shared" ref="I69:I132" si="3">IF(D69&gt;0,MIN(E69/D69,1),0)</f>
        <v>0.87379972565157749</v>
      </c>
      <c r="J69" s="13">
        <f t="shared" ref="J69:J132" si="4">F69*I69</f>
        <v>12784.56378600823</v>
      </c>
      <c r="K69" s="13">
        <f t="shared" ref="K69:K132" si="5">F69*G69</f>
        <v>13899.449999999999</v>
      </c>
    </row>
    <row r="70" spans="1:11" x14ac:dyDescent="0.25">
      <c r="A70" s="4" t="s">
        <v>110</v>
      </c>
      <c r="B70" s="4" t="s">
        <v>6</v>
      </c>
      <c r="C70" s="4" t="s">
        <v>27</v>
      </c>
      <c r="D70" s="12">
        <v>1405</v>
      </c>
      <c r="E70" s="12">
        <v>1323</v>
      </c>
      <c r="F70" s="13">
        <v>61005</v>
      </c>
      <c r="G70" s="14">
        <v>1</v>
      </c>
      <c r="H70" s="13">
        <v>55596</v>
      </c>
      <c r="I70" s="15">
        <f t="shared" si="3"/>
        <v>0.94163701067615657</v>
      </c>
      <c r="J70" s="13">
        <f t="shared" si="4"/>
        <v>57444.565836298934</v>
      </c>
      <c r="K70" s="13">
        <f t="shared" si="5"/>
        <v>61005</v>
      </c>
    </row>
    <row r="71" spans="1:11" x14ac:dyDescent="0.25">
      <c r="A71" s="4" t="s">
        <v>111</v>
      </c>
      <c r="B71" s="4" t="s">
        <v>6</v>
      </c>
      <c r="C71" s="4" t="s">
        <v>32</v>
      </c>
      <c r="D71" s="12">
        <v>307</v>
      </c>
      <c r="E71" s="12">
        <v>266</v>
      </c>
      <c r="F71" s="13">
        <v>12197</v>
      </c>
      <c r="G71" s="14">
        <v>0.95</v>
      </c>
      <c r="H71" s="13">
        <v>11049</v>
      </c>
      <c r="I71" s="15">
        <f t="shared" si="3"/>
        <v>0.86644951140065152</v>
      </c>
      <c r="J71" s="13">
        <f t="shared" si="4"/>
        <v>10568.084690553747</v>
      </c>
      <c r="K71" s="13">
        <f t="shared" si="5"/>
        <v>11587.15</v>
      </c>
    </row>
    <row r="72" spans="1:11" x14ac:dyDescent="0.25">
      <c r="A72" s="4" t="s">
        <v>112</v>
      </c>
      <c r="B72" s="4" t="s">
        <v>6</v>
      </c>
      <c r="C72" s="4" t="s">
        <v>27</v>
      </c>
      <c r="D72" s="12">
        <v>747</v>
      </c>
      <c r="E72" s="12">
        <v>726</v>
      </c>
      <c r="F72" s="13">
        <v>20669</v>
      </c>
      <c r="G72" s="14">
        <v>1</v>
      </c>
      <c r="H72" s="13">
        <v>21355</v>
      </c>
      <c r="I72" s="15">
        <f t="shared" si="3"/>
        <v>0.9718875502008032</v>
      </c>
      <c r="J72" s="13">
        <f t="shared" si="4"/>
        <v>20087.943775100401</v>
      </c>
      <c r="K72" s="13">
        <f t="shared" si="5"/>
        <v>20669</v>
      </c>
    </row>
    <row r="73" spans="1:11" x14ac:dyDescent="0.25">
      <c r="A73" s="4" t="s">
        <v>113</v>
      </c>
      <c r="B73" s="4" t="s">
        <v>6</v>
      </c>
      <c r="C73" s="4" t="s">
        <v>45</v>
      </c>
      <c r="D73" s="12">
        <v>19062</v>
      </c>
      <c r="E73" s="12">
        <v>17268</v>
      </c>
      <c r="F73" s="13">
        <v>47846</v>
      </c>
      <c r="G73" s="14">
        <v>1</v>
      </c>
      <c r="H73" s="13">
        <v>48614</v>
      </c>
      <c r="I73" s="15">
        <f t="shared" si="3"/>
        <v>0.90588605602769912</v>
      </c>
      <c r="J73" s="13">
        <f t="shared" si="4"/>
        <v>43343.024236701291</v>
      </c>
      <c r="K73" s="13">
        <f t="shared" si="5"/>
        <v>47846</v>
      </c>
    </row>
    <row r="74" spans="1:11" x14ac:dyDescent="0.25">
      <c r="A74" s="4" t="s">
        <v>114</v>
      </c>
      <c r="B74" s="4" t="s">
        <v>6</v>
      </c>
      <c r="C74" s="4" t="s">
        <v>45</v>
      </c>
      <c r="D74" s="12">
        <v>27791</v>
      </c>
      <c r="E74" s="12">
        <v>27072</v>
      </c>
      <c r="F74" s="13">
        <v>57805</v>
      </c>
      <c r="G74" s="14">
        <v>1</v>
      </c>
      <c r="H74" s="13">
        <v>62432</v>
      </c>
      <c r="I74" s="15">
        <f t="shared" si="3"/>
        <v>0.97412831492209706</v>
      </c>
      <c r="J74" s="13">
        <f t="shared" si="4"/>
        <v>56309.487244071817</v>
      </c>
      <c r="K74" s="13">
        <f t="shared" si="5"/>
        <v>57805</v>
      </c>
    </row>
    <row r="75" spans="1:11" x14ac:dyDescent="0.25">
      <c r="A75" s="4" t="s">
        <v>115</v>
      </c>
      <c r="B75" s="4" t="s">
        <v>6</v>
      </c>
      <c r="C75" s="4" t="s">
        <v>45</v>
      </c>
      <c r="D75" s="12">
        <v>36353</v>
      </c>
      <c r="E75" s="12">
        <v>35539</v>
      </c>
      <c r="F75" s="13">
        <v>88338</v>
      </c>
      <c r="G75" s="14">
        <v>1</v>
      </c>
      <c r="H75" s="13">
        <v>89730</v>
      </c>
      <c r="I75" s="15">
        <f t="shared" si="3"/>
        <v>0.97760845047176304</v>
      </c>
      <c r="J75" s="13">
        <f t="shared" si="4"/>
        <v>86359.97529777461</v>
      </c>
      <c r="K75" s="13">
        <f t="shared" si="5"/>
        <v>88338</v>
      </c>
    </row>
    <row r="76" spans="1:11" x14ac:dyDescent="0.25">
      <c r="A76" s="4" t="s">
        <v>116</v>
      </c>
      <c r="B76" s="4" t="s">
        <v>6</v>
      </c>
      <c r="C76" s="4" t="s">
        <v>29</v>
      </c>
      <c r="D76" s="12">
        <v>324</v>
      </c>
      <c r="E76" s="12">
        <v>291</v>
      </c>
      <c r="F76" s="13">
        <v>112085</v>
      </c>
      <c r="G76" s="14">
        <v>1</v>
      </c>
      <c r="H76" s="13">
        <v>109653</v>
      </c>
      <c r="I76" s="15">
        <f t="shared" si="3"/>
        <v>0.89814814814814814</v>
      </c>
      <c r="J76" s="13">
        <f t="shared" si="4"/>
        <v>100668.93518518518</v>
      </c>
      <c r="K76" s="13">
        <f t="shared" si="5"/>
        <v>112085</v>
      </c>
    </row>
    <row r="77" spans="1:11" x14ac:dyDescent="0.25">
      <c r="A77" s="4" t="s">
        <v>117</v>
      </c>
      <c r="B77" s="4" t="s">
        <v>6</v>
      </c>
      <c r="C77" s="4" t="s">
        <v>29</v>
      </c>
      <c r="D77" s="12">
        <v>754</v>
      </c>
      <c r="E77" s="12">
        <v>576</v>
      </c>
      <c r="F77" s="13">
        <v>253419</v>
      </c>
      <c r="G77" s="14">
        <v>0.81</v>
      </c>
      <c r="H77" s="13">
        <v>217615</v>
      </c>
      <c r="I77" s="15">
        <f t="shared" si="3"/>
        <v>0.76392572944297077</v>
      </c>
      <c r="J77" s="13">
        <f t="shared" si="4"/>
        <v>193593.29442970821</v>
      </c>
      <c r="K77" s="13">
        <f t="shared" si="5"/>
        <v>205269.39</v>
      </c>
    </row>
    <row r="78" spans="1:11" x14ac:dyDescent="0.25">
      <c r="A78" s="4" t="s">
        <v>118</v>
      </c>
      <c r="B78" s="4" t="s">
        <v>6</v>
      </c>
      <c r="C78" s="4" t="s">
        <v>29</v>
      </c>
      <c r="D78" s="12">
        <v>776</v>
      </c>
      <c r="E78" s="12">
        <v>698</v>
      </c>
      <c r="F78" s="13">
        <v>254039</v>
      </c>
      <c r="G78" s="14">
        <v>1</v>
      </c>
      <c r="H78" s="13">
        <v>228635</v>
      </c>
      <c r="I78" s="15">
        <f t="shared" si="3"/>
        <v>0.89948453608247425</v>
      </c>
      <c r="J78" s="13">
        <f t="shared" si="4"/>
        <v>228504.15206185568</v>
      </c>
      <c r="K78" s="13">
        <f t="shared" si="5"/>
        <v>254039</v>
      </c>
    </row>
    <row r="79" spans="1:11" x14ac:dyDescent="0.25">
      <c r="A79" s="4" t="s">
        <v>119</v>
      </c>
      <c r="B79" s="4" t="s">
        <v>6</v>
      </c>
      <c r="C79" s="4" t="s">
        <v>27</v>
      </c>
      <c r="D79" s="12">
        <v>1038</v>
      </c>
      <c r="E79" s="12">
        <v>963</v>
      </c>
      <c r="F79" s="13">
        <v>25047</v>
      </c>
      <c r="G79" s="14">
        <v>1</v>
      </c>
      <c r="H79" s="13">
        <v>25146</v>
      </c>
      <c r="I79" s="15">
        <f t="shared" si="3"/>
        <v>0.9277456647398844</v>
      </c>
      <c r="J79" s="13">
        <f t="shared" si="4"/>
        <v>23237.245664739883</v>
      </c>
      <c r="K79" s="13">
        <f t="shared" si="5"/>
        <v>25047</v>
      </c>
    </row>
    <row r="80" spans="1:11" x14ac:dyDescent="0.25">
      <c r="A80" s="4" t="s">
        <v>120</v>
      </c>
      <c r="B80" s="4" t="s">
        <v>6</v>
      </c>
      <c r="C80" s="4" t="s">
        <v>29</v>
      </c>
      <c r="D80" s="12">
        <v>2233</v>
      </c>
      <c r="E80" s="12">
        <v>1926</v>
      </c>
      <c r="F80" s="13">
        <v>18802</v>
      </c>
      <c r="G80" s="14">
        <v>1</v>
      </c>
      <c r="H80" s="13">
        <v>15517</v>
      </c>
      <c r="I80" s="15">
        <f t="shared" si="3"/>
        <v>0.86251679355127631</v>
      </c>
      <c r="J80" s="13">
        <f t="shared" si="4"/>
        <v>16217.040752351097</v>
      </c>
      <c r="K80" s="13">
        <f t="shared" si="5"/>
        <v>18802</v>
      </c>
    </row>
    <row r="81" spans="1:11" x14ac:dyDescent="0.25">
      <c r="A81" s="4" t="s">
        <v>121</v>
      </c>
      <c r="B81" s="4" t="s">
        <v>6</v>
      </c>
      <c r="C81" s="4" t="s">
        <v>29</v>
      </c>
      <c r="D81" s="12">
        <v>5813</v>
      </c>
      <c r="E81" s="12">
        <v>4816</v>
      </c>
      <c r="F81" s="13">
        <v>57549</v>
      </c>
      <c r="G81" s="14">
        <v>0.89</v>
      </c>
      <c r="H81" s="13">
        <v>45510</v>
      </c>
      <c r="I81" s="15">
        <f t="shared" si="3"/>
        <v>0.82848787201100982</v>
      </c>
      <c r="J81" s="13">
        <f t="shared" si="4"/>
        <v>47678.648546361605</v>
      </c>
      <c r="K81" s="13">
        <f t="shared" si="5"/>
        <v>51218.61</v>
      </c>
    </row>
    <row r="82" spans="1:11" x14ac:dyDescent="0.25">
      <c r="A82" s="4" t="s">
        <v>122</v>
      </c>
      <c r="B82" s="4" t="s">
        <v>6</v>
      </c>
      <c r="C82" s="4" t="s">
        <v>45</v>
      </c>
      <c r="D82" s="12">
        <v>18766</v>
      </c>
      <c r="E82" s="12">
        <v>14447</v>
      </c>
      <c r="F82" s="13">
        <v>54421</v>
      </c>
      <c r="G82" s="14">
        <v>0.84</v>
      </c>
      <c r="H82" s="13">
        <v>43041</v>
      </c>
      <c r="I82" s="15">
        <f t="shared" si="3"/>
        <v>0.76984972823190878</v>
      </c>
      <c r="J82" s="13">
        <f t="shared" si="4"/>
        <v>41895.992060108707</v>
      </c>
      <c r="K82" s="13">
        <f t="shared" si="5"/>
        <v>45713.64</v>
      </c>
    </row>
    <row r="83" spans="1:11" x14ac:dyDescent="0.25">
      <c r="A83" s="4" t="s">
        <v>123</v>
      </c>
      <c r="B83" s="4" t="s">
        <v>6</v>
      </c>
      <c r="C83" s="4" t="s">
        <v>29</v>
      </c>
      <c r="D83" s="12">
        <v>6126</v>
      </c>
      <c r="E83" s="12">
        <v>4887</v>
      </c>
      <c r="F83" s="13">
        <v>36021</v>
      </c>
      <c r="G83" s="14">
        <v>0.94</v>
      </c>
      <c r="H83" s="13">
        <v>28179</v>
      </c>
      <c r="I83" s="15">
        <f t="shared" si="3"/>
        <v>0.79774730656219395</v>
      </c>
      <c r="J83" s="13">
        <f t="shared" si="4"/>
        <v>28735.65572967679</v>
      </c>
      <c r="K83" s="13">
        <f t="shared" si="5"/>
        <v>33859.74</v>
      </c>
    </row>
    <row r="84" spans="1:11" x14ac:dyDescent="0.25">
      <c r="A84" s="4" t="s">
        <v>124</v>
      </c>
      <c r="B84" s="4" t="s">
        <v>6</v>
      </c>
      <c r="C84" s="4" t="s">
        <v>29</v>
      </c>
      <c r="D84" s="12">
        <v>190</v>
      </c>
      <c r="E84" s="12">
        <v>167</v>
      </c>
      <c r="F84" s="13">
        <v>56308</v>
      </c>
      <c r="G84" s="14">
        <v>0.99</v>
      </c>
      <c r="H84" s="13">
        <v>49807</v>
      </c>
      <c r="I84" s="15">
        <f t="shared" si="3"/>
        <v>0.87894736842105259</v>
      </c>
      <c r="J84" s="13">
        <f t="shared" si="4"/>
        <v>49491.768421052628</v>
      </c>
      <c r="K84" s="13">
        <f t="shared" si="5"/>
        <v>55744.92</v>
      </c>
    </row>
    <row r="85" spans="1:11" x14ac:dyDescent="0.25">
      <c r="A85" s="4" t="s">
        <v>125</v>
      </c>
      <c r="B85" s="4" t="s">
        <v>6</v>
      </c>
      <c r="C85" s="4" t="s">
        <v>45</v>
      </c>
      <c r="D85" s="12">
        <v>14590</v>
      </c>
      <c r="E85" s="12">
        <v>12080</v>
      </c>
      <c r="F85" s="13">
        <v>29909</v>
      </c>
      <c r="G85" s="14">
        <v>0.98</v>
      </c>
      <c r="H85" s="13">
        <v>24848</v>
      </c>
      <c r="I85" s="15">
        <f t="shared" si="3"/>
        <v>0.8279643591501028</v>
      </c>
      <c r="J85" s="13">
        <f t="shared" si="4"/>
        <v>24763.586017820424</v>
      </c>
      <c r="K85" s="13">
        <f t="shared" si="5"/>
        <v>29310.82</v>
      </c>
    </row>
    <row r="86" spans="1:11" x14ac:dyDescent="0.25">
      <c r="A86" s="4" t="s">
        <v>126</v>
      </c>
      <c r="B86" s="4" t="s">
        <v>6</v>
      </c>
      <c r="C86" s="4" t="s">
        <v>27</v>
      </c>
      <c r="D86" s="12">
        <v>2276</v>
      </c>
      <c r="E86" s="12">
        <v>2184</v>
      </c>
      <c r="F86" s="13">
        <v>58129</v>
      </c>
      <c r="G86" s="14">
        <v>1</v>
      </c>
      <c r="H86" s="13">
        <v>60679</v>
      </c>
      <c r="I86" s="15">
        <f t="shared" si="3"/>
        <v>0.95957820738137078</v>
      </c>
      <c r="J86" s="13">
        <f t="shared" si="4"/>
        <v>55779.321616871704</v>
      </c>
      <c r="K86" s="13">
        <f t="shared" si="5"/>
        <v>58129</v>
      </c>
    </row>
    <row r="87" spans="1:11" x14ac:dyDescent="0.25">
      <c r="A87" s="4" t="s">
        <v>127</v>
      </c>
      <c r="B87" s="4" t="s">
        <v>6</v>
      </c>
      <c r="C87" s="4" t="s">
        <v>45</v>
      </c>
      <c r="D87" s="12">
        <v>38876</v>
      </c>
      <c r="E87" s="12">
        <v>33457</v>
      </c>
      <c r="F87" s="13">
        <v>82806</v>
      </c>
      <c r="G87" s="14">
        <v>0.92</v>
      </c>
      <c r="H87" s="13">
        <v>70147</v>
      </c>
      <c r="I87" s="15">
        <f t="shared" si="3"/>
        <v>0.86060808725177484</v>
      </c>
      <c r="J87" s="13">
        <f t="shared" si="4"/>
        <v>71263.513272970464</v>
      </c>
      <c r="K87" s="13">
        <f t="shared" si="5"/>
        <v>76181.52</v>
      </c>
    </row>
    <row r="88" spans="1:11" x14ac:dyDescent="0.25">
      <c r="A88" s="4" t="s">
        <v>128</v>
      </c>
      <c r="B88" s="4" t="s">
        <v>6</v>
      </c>
      <c r="C88" s="4" t="s">
        <v>29</v>
      </c>
      <c r="D88" s="12">
        <v>642</v>
      </c>
      <c r="E88" s="12">
        <v>494</v>
      </c>
      <c r="F88" s="13">
        <v>120580</v>
      </c>
      <c r="G88" s="14">
        <v>0.82</v>
      </c>
      <c r="H88" s="13">
        <v>89264</v>
      </c>
      <c r="I88" s="15">
        <f t="shared" si="3"/>
        <v>0.76947040498442365</v>
      </c>
      <c r="J88" s="13">
        <f t="shared" si="4"/>
        <v>92782.741433021802</v>
      </c>
      <c r="K88" s="13">
        <f t="shared" si="5"/>
        <v>98875.599999999991</v>
      </c>
    </row>
    <row r="89" spans="1:11" x14ac:dyDescent="0.25">
      <c r="A89" s="4" t="s">
        <v>129</v>
      </c>
      <c r="B89" s="4" t="s">
        <v>6</v>
      </c>
      <c r="C89" s="4" t="s">
        <v>29</v>
      </c>
      <c r="D89" s="12">
        <v>773</v>
      </c>
      <c r="E89" s="12">
        <v>661</v>
      </c>
      <c r="F89" s="13">
        <v>182196</v>
      </c>
      <c r="G89" s="14">
        <v>1</v>
      </c>
      <c r="H89" s="13">
        <v>154473</v>
      </c>
      <c r="I89" s="15">
        <f t="shared" si="3"/>
        <v>0.85510996119016813</v>
      </c>
      <c r="J89" s="13">
        <f t="shared" si="4"/>
        <v>155797.61448900387</v>
      </c>
      <c r="K89" s="13">
        <f t="shared" si="5"/>
        <v>182196</v>
      </c>
    </row>
    <row r="90" spans="1:11" x14ac:dyDescent="0.25">
      <c r="A90" s="4" t="s">
        <v>130</v>
      </c>
      <c r="B90" s="4" t="s">
        <v>6</v>
      </c>
      <c r="C90" s="4" t="s">
        <v>29</v>
      </c>
      <c r="D90" s="12">
        <v>294</v>
      </c>
      <c r="E90" s="12">
        <v>262</v>
      </c>
      <c r="F90" s="13">
        <v>84681</v>
      </c>
      <c r="G90" s="14">
        <v>1</v>
      </c>
      <c r="H90" s="13">
        <v>78801</v>
      </c>
      <c r="I90" s="15">
        <f t="shared" si="3"/>
        <v>0.891156462585034</v>
      </c>
      <c r="J90" s="13">
        <f t="shared" si="4"/>
        <v>75464.020408163269</v>
      </c>
      <c r="K90" s="13">
        <f t="shared" si="5"/>
        <v>84681</v>
      </c>
    </row>
    <row r="91" spans="1:11" x14ac:dyDescent="0.25">
      <c r="A91" s="4" t="s">
        <v>131</v>
      </c>
      <c r="B91" s="4" t="s">
        <v>6</v>
      </c>
      <c r="C91" s="4" t="s">
        <v>29</v>
      </c>
      <c r="D91" s="12">
        <v>6058</v>
      </c>
      <c r="E91" s="12">
        <v>5119</v>
      </c>
      <c r="F91" s="13">
        <v>39377</v>
      </c>
      <c r="G91" s="14">
        <v>1</v>
      </c>
      <c r="H91" s="13">
        <v>36917</v>
      </c>
      <c r="I91" s="15">
        <f t="shared" si="3"/>
        <v>0.84499834929019479</v>
      </c>
      <c r="J91" s="13">
        <f t="shared" si="4"/>
        <v>33273.5</v>
      </c>
      <c r="K91" s="13">
        <f t="shared" si="5"/>
        <v>39377</v>
      </c>
    </row>
    <row r="92" spans="1:11" x14ac:dyDescent="0.25">
      <c r="A92" s="4" t="s">
        <v>132</v>
      </c>
      <c r="B92" s="4" t="s">
        <v>6</v>
      </c>
      <c r="C92" s="4" t="s">
        <v>29</v>
      </c>
      <c r="D92" s="12">
        <v>663</v>
      </c>
      <c r="E92" s="12">
        <v>548</v>
      </c>
      <c r="F92" s="13">
        <v>164179</v>
      </c>
      <c r="G92" s="14">
        <v>1</v>
      </c>
      <c r="H92" s="13">
        <v>129168</v>
      </c>
      <c r="I92" s="15">
        <f t="shared" si="3"/>
        <v>0.8265460030165912</v>
      </c>
      <c r="J92" s="13">
        <f t="shared" si="4"/>
        <v>135701.49622926093</v>
      </c>
      <c r="K92" s="13">
        <f t="shared" si="5"/>
        <v>164179</v>
      </c>
    </row>
    <row r="93" spans="1:11" x14ac:dyDescent="0.25">
      <c r="A93" s="4" t="s">
        <v>133</v>
      </c>
      <c r="B93" s="4" t="s">
        <v>6</v>
      </c>
      <c r="C93" s="4" t="s">
        <v>29</v>
      </c>
      <c r="D93" s="12">
        <v>178</v>
      </c>
      <c r="E93" s="12">
        <v>137</v>
      </c>
      <c r="F93" s="13">
        <v>37991</v>
      </c>
      <c r="G93" s="14">
        <v>0.92</v>
      </c>
      <c r="H93" s="13">
        <v>29538</v>
      </c>
      <c r="I93" s="15">
        <f t="shared" si="3"/>
        <v>0.7696629213483146</v>
      </c>
      <c r="J93" s="13">
        <f t="shared" si="4"/>
        <v>29240.264044943819</v>
      </c>
      <c r="K93" s="13">
        <f t="shared" si="5"/>
        <v>34951.72</v>
      </c>
    </row>
    <row r="94" spans="1:11" x14ac:dyDescent="0.25">
      <c r="A94" s="4" t="s">
        <v>134</v>
      </c>
      <c r="B94" s="4" t="s">
        <v>6</v>
      </c>
      <c r="C94" s="4" t="s">
        <v>29</v>
      </c>
      <c r="D94" s="12">
        <v>14652</v>
      </c>
      <c r="E94" s="12">
        <v>11706</v>
      </c>
      <c r="F94" s="13">
        <v>78828</v>
      </c>
      <c r="G94" s="14">
        <v>0.93</v>
      </c>
      <c r="H94" s="13">
        <v>63578</v>
      </c>
      <c r="I94" s="15">
        <f t="shared" si="3"/>
        <v>0.79893529893529891</v>
      </c>
      <c r="J94" s="13">
        <f t="shared" si="4"/>
        <v>62978.471744471739</v>
      </c>
      <c r="K94" s="13">
        <f t="shared" si="5"/>
        <v>73310.040000000008</v>
      </c>
    </row>
    <row r="95" spans="1:11" x14ac:dyDescent="0.25">
      <c r="A95" s="4" t="s">
        <v>135</v>
      </c>
      <c r="B95" s="4" t="s">
        <v>6</v>
      </c>
      <c r="C95" s="4" t="s">
        <v>29</v>
      </c>
      <c r="D95" s="12">
        <v>148</v>
      </c>
      <c r="E95" s="12">
        <v>128</v>
      </c>
      <c r="F95" s="13">
        <v>40024</v>
      </c>
      <c r="G95" s="14">
        <v>0.96</v>
      </c>
      <c r="H95" s="13">
        <v>38041</v>
      </c>
      <c r="I95" s="15">
        <f t="shared" si="3"/>
        <v>0.86486486486486491</v>
      </c>
      <c r="J95" s="13">
        <f t="shared" si="4"/>
        <v>34615.351351351354</v>
      </c>
      <c r="K95" s="13">
        <f t="shared" si="5"/>
        <v>38423.040000000001</v>
      </c>
    </row>
    <row r="96" spans="1:11" x14ac:dyDescent="0.25">
      <c r="A96" s="4" t="s">
        <v>136</v>
      </c>
      <c r="B96" s="4" t="s">
        <v>6</v>
      </c>
      <c r="C96" s="4" t="s">
        <v>27</v>
      </c>
      <c r="D96" s="12">
        <v>1933</v>
      </c>
      <c r="E96" s="12">
        <v>1806</v>
      </c>
      <c r="F96" s="13">
        <v>93789</v>
      </c>
      <c r="G96" s="14">
        <v>1</v>
      </c>
      <c r="H96" s="13">
        <v>83402</v>
      </c>
      <c r="I96" s="15">
        <f t="shared" si="3"/>
        <v>0.93429901707190899</v>
      </c>
      <c r="J96" s="13">
        <f t="shared" si="4"/>
        <v>87626.970512157277</v>
      </c>
      <c r="K96" s="13">
        <f t="shared" si="5"/>
        <v>93789</v>
      </c>
    </row>
    <row r="97" spans="1:11" x14ac:dyDescent="0.25">
      <c r="A97" s="4" t="s">
        <v>137</v>
      </c>
      <c r="B97" s="4" t="s">
        <v>6</v>
      </c>
      <c r="C97" s="4" t="s">
        <v>32</v>
      </c>
      <c r="D97" s="12">
        <v>2397</v>
      </c>
      <c r="E97" s="12">
        <v>2176</v>
      </c>
      <c r="F97" s="13">
        <v>78622</v>
      </c>
      <c r="G97" s="14">
        <v>0.99</v>
      </c>
      <c r="H97" s="13">
        <v>76648</v>
      </c>
      <c r="I97" s="15">
        <f t="shared" si="3"/>
        <v>0.90780141843971629</v>
      </c>
      <c r="J97" s="13">
        <f t="shared" si="4"/>
        <v>71373.163120567377</v>
      </c>
      <c r="K97" s="13">
        <f t="shared" si="5"/>
        <v>77835.78</v>
      </c>
    </row>
    <row r="98" spans="1:11" x14ac:dyDescent="0.25">
      <c r="A98" s="4" t="s">
        <v>138</v>
      </c>
      <c r="B98" s="4" t="s">
        <v>6</v>
      </c>
      <c r="C98" s="4" t="s">
        <v>27</v>
      </c>
      <c r="D98" s="12">
        <v>2681</v>
      </c>
      <c r="E98" s="12">
        <v>2430</v>
      </c>
      <c r="F98" s="13">
        <v>126141</v>
      </c>
      <c r="G98" s="14">
        <v>1</v>
      </c>
      <c r="H98" s="13">
        <v>120303</v>
      </c>
      <c r="I98" s="15">
        <f t="shared" si="3"/>
        <v>0.9063782170831779</v>
      </c>
      <c r="J98" s="13">
        <f t="shared" si="4"/>
        <v>114331.45468108915</v>
      </c>
      <c r="K98" s="13">
        <f t="shared" si="5"/>
        <v>126141</v>
      </c>
    </row>
    <row r="99" spans="1:11" x14ac:dyDescent="0.25">
      <c r="A99" s="4" t="s">
        <v>139</v>
      </c>
      <c r="B99" s="4" t="s">
        <v>6</v>
      </c>
      <c r="C99" s="4" t="s">
        <v>29</v>
      </c>
      <c r="D99" s="12">
        <v>373</v>
      </c>
      <c r="E99" s="12">
        <v>315</v>
      </c>
      <c r="F99" s="13">
        <v>98345</v>
      </c>
      <c r="G99" s="14">
        <v>0.96</v>
      </c>
      <c r="H99" s="13">
        <v>88212</v>
      </c>
      <c r="I99" s="15">
        <f t="shared" si="3"/>
        <v>0.84450402144772119</v>
      </c>
      <c r="J99" s="13">
        <f t="shared" si="4"/>
        <v>83052.747989276133</v>
      </c>
      <c r="K99" s="13">
        <f t="shared" si="5"/>
        <v>94411.199999999997</v>
      </c>
    </row>
    <row r="100" spans="1:11" x14ac:dyDescent="0.25">
      <c r="A100" s="4" t="s">
        <v>140</v>
      </c>
      <c r="B100" s="4" t="s">
        <v>6</v>
      </c>
      <c r="C100" s="4" t="s">
        <v>29</v>
      </c>
      <c r="D100" s="12">
        <v>327</v>
      </c>
      <c r="E100" s="12">
        <v>311</v>
      </c>
      <c r="F100" s="13">
        <v>91347</v>
      </c>
      <c r="G100" s="14">
        <v>1</v>
      </c>
      <c r="H100" s="13">
        <v>82512</v>
      </c>
      <c r="I100" s="15">
        <f t="shared" si="3"/>
        <v>0.95107033639143734</v>
      </c>
      <c r="J100" s="13">
        <f t="shared" si="4"/>
        <v>86877.422018348632</v>
      </c>
      <c r="K100" s="13">
        <f t="shared" si="5"/>
        <v>91347</v>
      </c>
    </row>
    <row r="101" spans="1:11" x14ac:dyDescent="0.25">
      <c r="A101" s="4" t="s">
        <v>141</v>
      </c>
      <c r="B101" s="4" t="s">
        <v>6</v>
      </c>
      <c r="C101" s="4" t="s">
        <v>45</v>
      </c>
      <c r="D101" s="12">
        <v>13970</v>
      </c>
      <c r="E101" s="12">
        <v>11158</v>
      </c>
      <c r="F101" s="13">
        <v>33807</v>
      </c>
      <c r="G101" s="14">
        <v>0.85</v>
      </c>
      <c r="H101" s="13">
        <v>30119</v>
      </c>
      <c r="I101" s="15">
        <f t="shared" si="3"/>
        <v>0.79871152469577666</v>
      </c>
      <c r="J101" s="13">
        <f t="shared" si="4"/>
        <v>27002.040515390123</v>
      </c>
      <c r="K101" s="13">
        <f t="shared" si="5"/>
        <v>28735.95</v>
      </c>
    </row>
    <row r="102" spans="1:11" x14ac:dyDescent="0.25">
      <c r="A102" s="4" t="s">
        <v>142</v>
      </c>
      <c r="B102" s="4" t="s">
        <v>6</v>
      </c>
      <c r="C102" s="4" t="s">
        <v>29</v>
      </c>
      <c r="D102" s="12">
        <v>6998</v>
      </c>
      <c r="E102" s="12">
        <v>6308</v>
      </c>
      <c r="F102" s="13">
        <v>51645</v>
      </c>
      <c r="G102" s="14">
        <v>1</v>
      </c>
      <c r="H102" s="13">
        <v>44938</v>
      </c>
      <c r="I102" s="15">
        <f t="shared" si="3"/>
        <v>0.90140040011431832</v>
      </c>
      <c r="J102" s="13">
        <f t="shared" si="4"/>
        <v>46552.823663903968</v>
      </c>
      <c r="K102" s="13">
        <f t="shared" si="5"/>
        <v>51645</v>
      </c>
    </row>
    <row r="103" spans="1:11" x14ac:dyDescent="0.25">
      <c r="A103" s="4" t="s">
        <v>143</v>
      </c>
      <c r="B103" s="4" t="s">
        <v>6</v>
      </c>
      <c r="C103" s="4" t="s">
        <v>29</v>
      </c>
      <c r="D103" s="12">
        <v>211</v>
      </c>
      <c r="E103" s="12">
        <v>176</v>
      </c>
      <c r="F103" s="13">
        <v>61985</v>
      </c>
      <c r="G103" s="14">
        <v>1</v>
      </c>
      <c r="H103" s="13">
        <v>51942</v>
      </c>
      <c r="I103" s="15">
        <f t="shared" si="3"/>
        <v>0.83412322274881512</v>
      </c>
      <c r="J103" s="13">
        <f t="shared" si="4"/>
        <v>51703.127962085302</v>
      </c>
      <c r="K103" s="13">
        <f t="shared" si="5"/>
        <v>61985</v>
      </c>
    </row>
    <row r="104" spans="1:11" x14ac:dyDescent="0.25">
      <c r="A104" s="4" t="s">
        <v>144</v>
      </c>
      <c r="B104" s="4" t="s">
        <v>6</v>
      </c>
      <c r="C104" s="4" t="s">
        <v>29</v>
      </c>
      <c r="D104" s="12">
        <v>883</v>
      </c>
      <c r="E104" s="12">
        <v>672</v>
      </c>
      <c r="F104" s="13">
        <v>271055</v>
      </c>
      <c r="G104" s="14">
        <v>0.92</v>
      </c>
      <c r="H104" s="13">
        <v>208097</v>
      </c>
      <c r="I104" s="15">
        <f t="shared" si="3"/>
        <v>0.76104190260475646</v>
      </c>
      <c r="J104" s="13">
        <f t="shared" si="4"/>
        <v>206284.21291053225</v>
      </c>
      <c r="K104" s="13">
        <f t="shared" si="5"/>
        <v>249370.6</v>
      </c>
    </row>
    <row r="105" spans="1:11" x14ac:dyDescent="0.25">
      <c r="A105" s="4" t="s">
        <v>145</v>
      </c>
      <c r="B105" s="4" t="s">
        <v>6</v>
      </c>
      <c r="C105" s="4" t="s">
        <v>29</v>
      </c>
      <c r="D105" s="12">
        <v>409</v>
      </c>
      <c r="E105" s="12">
        <v>377</v>
      </c>
      <c r="F105" s="13">
        <v>136463</v>
      </c>
      <c r="G105" s="14">
        <v>1</v>
      </c>
      <c r="H105" s="13">
        <v>126029</v>
      </c>
      <c r="I105" s="15">
        <f t="shared" si="3"/>
        <v>0.92176039119804398</v>
      </c>
      <c r="J105" s="13">
        <f t="shared" si="4"/>
        <v>125786.18826405867</v>
      </c>
      <c r="K105" s="13">
        <f t="shared" si="5"/>
        <v>136463</v>
      </c>
    </row>
    <row r="106" spans="1:11" x14ac:dyDescent="0.25">
      <c r="A106" s="4" t="s">
        <v>146</v>
      </c>
      <c r="B106" s="4" t="s">
        <v>6</v>
      </c>
      <c r="C106" s="4" t="s">
        <v>29</v>
      </c>
      <c r="D106" s="12">
        <v>64</v>
      </c>
      <c r="E106" s="12">
        <v>53</v>
      </c>
      <c r="F106" s="13">
        <v>19482</v>
      </c>
      <c r="G106" s="14">
        <v>0.98</v>
      </c>
      <c r="H106" s="13">
        <v>15922</v>
      </c>
      <c r="I106" s="15">
        <f t="shared" si="3"/>
        <v>0.828125</v>
      </c>
      <c r="J106" s="13">
        <f t="shared" si="4"/>
        <v>16133.53125</v>
      </c>
      <c r="K106" s="13">
        <f t="shared" si="5"/>
        <v>19092.36</v>
      </c>
    </row>
    <row r="107" spans="1:11" x14ac:dyDescent="0.25">
      <c r="A107" s="4" t="s">
        <v>147</v>
      </c>
      <c r="B107" s="4" t="s">
        <v>6</v>
      </c>
      <c r="C107" s="4" t="s">
        <v>29</v>
      </c>
      <c r="D107" s="12">
        <v>833</v>
      </c>
      <c r="E107" s="12">
        <v>749</v>
      </c>
      <c r="F107" s="13">
        <v>273249</v>
      </c>
      <c r="G107" s="14">
        <v>1</v>
      </c>
      <c r="H107" s="13">
        <v>271317</v>
      </c>
      <c r="I107" s="15">
        <f t="shared" si="3"/>
        <v>0.89915966386554624</v>
      </c>
      <c r="J107" s="13">
        <f t="shared" si="4"/>
        <v>245694.47899159664</v>
      </c>
      <c r="K107" s="13">
        <f t="shared" si="5"/>
        <v>273249</v>
      </c>
    </row>
    <row r="108" spans="1:11" x14ac:dyDescent="0.25">
      <c r="A108" s="4" t="s">
        <v>148</v>
      </c>
      <c r="B108" s="4" t="s">
        <v>6</v>
      </c>
      <c r="C108" s="4" t="s">
        <v>45</v>
      </c>
      <c r="D108" s="12">
        <v>39790</v>
      </c>
      <c r="E108" s="12">
        <v>39258</v>
      </c>
      <c r="F108" s="13">
        <v>96690</v>
      </c>
      <c r="G108" s="14">
        <v>1</v>
      </c>
      <c r="H108" s="13">
        <v>106888</v>
      </c>
      <c r="I108" s="15">
        <f t="shared" si="3"/>
        <v>0.98662980648404119</v>
      </c>
      <c r="J108" s="13">
        <f t="shared" si="4"/>
        <v>95397.235988941946</v>
      </c>
      <c r="K108" s="13">
        <f t="shared" si="5"/>
        <v>96690</v>
      </c>
    </row>
    <row r="109" spans="1:11" x14ac:dyDescent="0.25">
      <c r="A109" s="4" t="s">
        <v>149</v>
      </c>
      <c r="B109" s="4" t="s">
        <v>6</v>
      </c>
      <c r="C109" s="4" t="s">
        <v>29</v>
      </c>
      <c r="D109" s="12">
        <v>131</v>
      </c>
      <c r="E109" s="12">
        <v>100</v>
      </c>
      <c r="F109" s="13">
        <v>38714</v>
      </c>
      <c r="G109" s="14">
        <v>0.94</v>
      </c>
      <c r="H109" s="13">
        <v>33122</v>
      </c>
      <c r="I109" s="15">
        <f t="shared" si="3"/>
        <v>0.76335877862595425</v>
      </c>
      <c r="J109" s="13">
        <f t="shared" si="4"/>
        <v>29552.671755725194</v>
      </c>
      <c r="K109" s="13">
        <f t="shared" si="5"/>
        <v>36391.159999999996</v>
      </c>
    </row>
    <row r="110" spans="1:11" x14ac:dyDescent="0.25">
      <c r="A110" s="4" t="s">
        <v>150</v>
      </c>
      <c r="B110" s="4" t="s">
        <v>6</v>
      </c>
      <c r="C110" s="4" t="s">
        <v>27</v>
      </c>
      <c r="D110" s="12">
        <v>479</v>
      </c>
      <c r="E110" s="12">
        <v>372</v>
      </c>
      <c r="F110" s="13">
        <v>10308</v>
      </c>
      <c r="G110" s="14">
        <v>0.93</v>
      </c>
      <c r="H110" s="13">
        <v>8423</v>
      </c>
      <c r="I110" s="15">
        <f t="shared" si="3"/>
        <v>0.77661795407098122</v>
      </c>
      <c r="J110" s="13">
        <f t="shared" si="4"/>
        <v>8005.3778705636742</v>
      </c>
      <c r="K110" s="13">
        <f t="shared" si="5"/>
        <v>9586.44</v>
      </c>
    </row>
    <row r="111" spans="1:11" x14ac:dyDescent="0.25">
      <c r="A111" s="4" t="s">
        <v>151</v>
      </c>
      <c r="B111" s="4" t="s">
        <v>6</v>
      </c>
      <c r="C111" s="4" t="s">
        <v>27</v>
      </c>
      <c r="D111" s="12">
        <v>3480</v>
      </c>
      <c r="E111" s="12">
        <v>3015</v>
      </c>
      <c r="F111" s="13">
        <v>130430</v>
      </c>
      <c r="G111" s="14">
        <v>1</v>
      </c>
      <c r="H111" s="13">
        <v>126396</v>
      </c>
      <c r="I111" s="15">
        <f t="shared" si="3"/>
        <v>0.86637931034482762</v>
      </c>
      <c r="J111" s="13">
        <f t="shared" si="4"/>
        <v>113001.85344827587</v>
      </c>
      <c r="K111" s="13">
        <f t="shared" si="5"/>
        <v>130430</v>
      </c>
    </row>
    <row r="112" spans="1:11" x14ac:dyDescent="0.25">
      <c r="A112" s="4" t="s">
        <v>152</v>
      </c>
      <c r="B112" s="4" t="s">
        <v>6</v>
      </c>
      <c r="C112" s="4" t="s">
        <v>29</v>
      </c>
      <c r="D112" s="12">
        <v>758</v>
      </c>
      <c r="E112" s="12">
        <v>718</v>
      </c>
      <c r="F112" s="13">
        <v>165744</v>
      </c>
      <c r="G112" s="14">
        <v>1</v>
      </c>
      <c r="H112" s="13">
        <v>155239</v>
      </c>
      <c r="I112" s="15">
        <f t="shared" si="3"/>
        <v>0.94722955145118737</v>
      </c>
      <c r="J112" s="13">
        <f t="shared" si="4"/>
        <v>156997.61477572561</v>
      </c>
      <c r="K112" s="13">
        <f t="shared" si="5"/>
        <v>165744</v>
      </c>
    </row>
    <row r="113" spans="1:11" x14ac:dyDescent="0.25">
      <c r="A113" s="4" t="s">
        <v>153</v>
      </c>
      <c r="B113" s="4" t="s">
        <v>6</v>
      </c>
      <c r="C113" s="4" t="s">
        <v>29</v>
      </c>
      <c r="D113" s="12">
        <v>7958</v>
      </c>
      <c r="E113" s="12">
        <v>7590</v>
      </c>
      <c r="F113" s="13">
        <v>58253</v>
      </c>
      <c r="G113" s="14">
        <v>1</v>
      </c>
      <c r="H113" s="13">
        <v>56901</v>
      </c>
      <c r="I113" s="15">
        <f t="shared" si="3"/>
        <v>0.95375722543352603</v>
      </c>
      <c r="J113" s="13">
        <f t="shared" si="4"/>
        <v>55559.219653179192</v>
      </c>
      <c r="K113" s="13">
        <f t="shared" si="5"/>
        <v>58253</v>
      </c>
    </row>
    <row r="114" spans="1:11" x14ac:dyDescent="0.25">
      <c r="A114" s="4" t="s">
        <v>154</v>
      </c>
      <c r="B114" s="4" t="s">
        <v>6</v>
      </c>
      <c r="C114" s="4" t="s">
        <v>29</v>
      </c>
      <c r="D114" s="12">
        <v>3675</v>
      </c>
      <c r="E114" s="12">
        <v>3212</v>
      </c>
      <c r="F114" s="13">
        <v>27710</v>
      </c>
      <c r="G114" s="14">
        <v>0.92</v>
      </c>
      <c r="H114" s="13">
        <v>27114</v>
      </c>
      <c r="I114" s="15">
        <f t="shared" si="3"/>
        <v>0.87401360544217688</v>
      </c>
      <c r="J114" s="13">
        <f t="shared" si="4"/>
        <v>24218.91700680272</v>
      </c>
      <c r="K114" s="13">
        <f t="shared" si="5"/>
        <v>25493.200000000001</v>
      </c>
    </row>
    <row r="115" spans="1:11" x14ac:dyDescent="0.25">
      <c r="A115" s="4" t="s">
        <v>155</v>
      </c>
      <c r="B115" s="4" t="s">
        <v>6</v>
      </c>
      <c r="C115" s="4" t="s">
        <v>45</v>
      </c>
      <c r="D115" s="12">
        <v>57530</v>
      </c>
      <c r="E115" s="12">
        <v>56538</v>
      </c>
      <c r="F115" s="13">
        <v>76515</v>
      </c>
      <c r="G115" s="14">
        <v>1</v>
      </c>
      <c r="H115" s="13">
        <v>84167</v>
      </c>
      <c r="I115" s="15">
        <f t="shared" si="3"/>
        <v>0.98275682252737706</v>
      </c>
      <c r="J115" s="13">
        <f t="shared" si="4"/>
        <v>75195.638275682257</v>
      </c>
      <c r="K115" s="13">
        <f t="shared" si="5"/>
        <v>76515</v>
      </c>
    </row>
    <row r="116" spans="1:11" x14ac:dyDescent="0.25">
      <c r="A116" s="4" t="s">
        <v>156</v>
      </c>
      <c r="B116" s="4" t="s">
        <v>6</v>
      </c>
      <c r="C116" s="4" t="s">
        <v>45</v>
      </c>
      <c r="D116" s="12">
        <v>34604</v>
      </c>
      <c r="E116" s="12">
        <v>28577</v>
      </c>
      <c r="F116" s="13">
        <v>46715</v>
      </c>
      <c r="G116" s="14">
        <v>0.98</v>
      </c>
      <c r="H116" s="13">
        <v>39353</v>
      </c>
      <c r="I116" s="15">
        <f t="shared" si="3"/>
        <v>0.82582938388625593</v>
      </c>
      <c r="J116" s="13">
        <f t="shared" si="4"/>
        <v>38578.619668246443</v>
      </c>
      <c r="K116" s="13">
        <f t="shared" si="5"/>
        <v>45780.7</v>
      </c>
    </row>
    <row r="117" spans="1:11" x14ac:dyDescent="0.25">
      <c r="A117" s="4" t="s">
        <v>157</v>
      </c>
      <c r="B117" s="4" t="s">
        <v>6</v>
      </c>
      <c r="C117" s="4" t="s">
        <v>32</v>
      </c>
      <c r="D117" s="12">
        <v>2325</v>
      </c>
      <c r="E117" s="12">
        <v>1832</v>
      </c>
      <c r="F117" s="13">
        <v>105113</v>
      </c>
      <c r="G117" s="14">
        <v>0.87</v>
      </c>
      <c r="H117" s="13">
        <v>82001</v>
      </c>
      <c r="I117" s="15">
        <f t="shared" si="3"/>
        <v>0.78795698924731183</v>
      </c>
      <c r="J117" s="13">
        <f t="shared" si="4"/>
        <v>82824.523010752688</v>
      </c>
      <c r="K117" s="13">
        <f t="shared" si="5"/>
        <v>91448.31</v>
      </c>
    </row>
    <row r="118" spans="1:11" x14ac:dyDescent="0.25">
      <c r="A118" s="4" t="s">
        <v>158</v>
      </c>
      <c r="B118" s="4" t="s">
        <v>6</v>
      </c>
      <c r="C118" s="4" t="s">
        <v>45</v>
      </c>
      <c r="D118" s="12">
        <v>11770</v>
      </c>
      <c r="E118" s="12">
        <v>11362</v>
      </c>
      <c r="F118" s="13">
        <v>21539</v>
      </c>
      <c r="G118" s="14">
        <v>1</v>
      </c>
      <c r="H118" s="13">
        <v>20861</v>
      </c>
      <c r="I118" s="15">
        <f t="shared" si="3"/>
        <v>0.96533559898045884</v>
      </c>
      <c r="J118" s="13">
        <f t="shared" si="4"/>
        <v>20792.363466440103</v>
      </c>
      <c r="K118" s="13">
        <f t="shared" si="5"/>
        <v>21539</v>
      </c>
    </row>
    <row r="119" spans="1:11" x14ac:dyDescent="0.25">
      <c r="A119" s="4" t="s">
        <v>159</v>
      </c>
      <c r="B119" s="4" t="s">
        <v>6</v>
      </c>
      <c r="C119" s="4" t="s">
        <v>45</v>
      </c>
      <c r="D119" s="12">
        <v>10745</v>
      </c>
      <c r="E119" s="12">
        <v>10164</v>
      </c>
      <c r="F119" s="13">
        <v>24499</v>
      </c>
      <c r="G119" s="14">
        <v>1</v>
      </c>
      <c r="H119" s="13">
        <v>23846</v>
      </c>
      <c r="I119" s="15">
        <f t="shared" si="3"/>
        <v>0.94592833876221494</v>
      </c>
      <c r="J119" s="13">
        <f t="shared" si="4"/>
        <v>23174.298371335502</v>
      </c>
      <c r="K119" s="13">
        <f t="shared" si="5"/>
        <v>24499</v>
      </c>
    </row>
    <row r="120" spans="1:11" x14ac:dyDescent="0.25">
      <c r="A120" s="4" t="s">
        <v>160</v>
      </c>
      <c r="B120" s="4" t="s">
        <v>6</v>
      </c>
      <c r="C120" s="4" t="s">
        <v>29</v>
      </c>
      <c r="D120" s="12">
        <v>8066</v>
      </c>
      <c r="E120" s="12">
        <v>7082</v>
      </c>
      <c r="F120" s="13">
        <v>60334</v>
      </c>
      <c r="G120" s="14">
        <v>0.98</v>
      </c>
      <c r="H120" s="13">
        <v>51034</v>
      </c>
      <c r="I120" s="15">
        <f t="shared" si="3"/>
        <v>0.87800644681378626</v>
      </c>
      <c r="J120" s="13">
        <f t="shared" si="4"/>
        <v>52973.640962062978</v>
      </c>
      <c r="K120" s="13">
        <f t="shared" si="5"/>
        <v>59127.32</v>
      </c>
    </row>
    <row r="121" spans="1:11" x14ac:dyDescent="0.25">
      <c r="A121" s="4" t="s">
        <v>161</v>
      </c>
      <c r="B121" s="4" t="s">
        <v>6</v>
      </c>
      <c r="C121" s="4" t="s">
        <v>29</v>
      </c>
      <c r="D121" s="12">
        <v>57</v>
      </c>
      <c r="E121" s="12">
        <v>45</v>
      </c>
      <c r="F121" s="13">
        <v>16502</v>
      </c>
      <c r="G121" s="14">
        <v>0.89</v>
      </c>
      <c r="H121" s="13">
        <v>12458</v>
      </c>
      <c r="I121" s="15">
        <f t="shared" si="3"/>
        <v>0.78947368421052633</v>
      </c>
      <c r="J121" s="13">
        <f t="shared" si="4"/>
        <v>13027.894736842105</v>
      </c>
      <c r="K121" s="13">
        <f t="shared" si="5"/>
        <v>14686.78</v>
      </c>
    </row>
    <row r="122" spans="1:11" x14ac:dyDescent="0.25">
      <c r="A122" s="4" t="s">
        <v>162</v>
      </c>
      <c r="B122" s="4" t="s">
        <v>6</v>
      </c>
      <c r="C122" s="4" t="s">
        <v>27</v>
      </c>
      <c r="D122" s="12">
        <v>647</v>
      </c>
      <c r="E122" s="12">
        <v>590</v>
      </c>
      <c r="F122" s="13">
        <v>28112</v>
      </c>
      <c r="G122" s="14">
        <v>1</v>
      </c>
      <c r="H122" s="13">
        <v>26676</v>
      </c>
      <c r="I122" s="15">
        <f t="shared" si="3"/>
        <v>0.91190108191653785</v>
      </c>
      <c r="J122" s="13">
        <f t="shared" si="4"/>
        <v>25635.363214837711</v>
      </c>
      <c r="K122" s="13">
        <f t="shared" si="5"/>
        <v>28112</v>
      </c>
    </row>
    <row r="123" spans="1:11" x14ac:dyDescent="0.25">
      <c r="A123" s="4" t="s">
        <v>163</v>
      </c>
      <c r="B123" s="4" t="s">
        <v>6</v>
      </c>
      <c r="C123" s="4" t="s">
        <v>45</v>
      </c>
      <c r="D123" s="12">
        <v>23554</v>
      </c>
      <c r="E123" s="12">
        <v>20872</v>
      </c>
      <c r="F123" s="13">
        <v>62889</v>
      </c>
      <c r="G123" s="14">
        <v>0.95</v>
      </c>
      <c r="H123" s="13">
        <v>53483</v>
      </c>
      <c r="I123" s="15">
        <f t="shared" si="3"/>
        <v>0.88613398998047044</v>
      </c>
      <c r="J123" s="13">
        <f t="shared" si="4"/>
        <v>55728.080495881804</v>
      </c>
      <c r="K123" s="13">
        <f t="shared" si="5"/>
        <v>59744.549999999996</v>
      </c>
    </row>
    <row r="124" spans="1:11" x14ac:dyDescent="0.25">
      <c r="A124" s="4" t="s">
        <v>164</v>
      </c>
      <c r="B124" s="4" t="s">
        <v>6</v>
      </c>
      <c r="C124" s="4" t="s">
        <v>29</v>
      </c>
      <c r="D124" s="12">
        <v>846</v>
      </c>
      <c r="E124" s="12">
        <v>725</v>
      </c>
      <c r="F124" s="13">
        <v>179614</v>
      </c>
      <c r="G124" s="14">
        <v>0.91</v>
      </c>
      <c r="H124" s="13">
        <v>166245</v>
      </c>
      <c r="I124" s="15">
        <f t="shared" si="3"/>
        <v>0.85697399527186757</v>
      </c>
      <c r="J124" s="13">
        <f t="shared" si="4"/>
        <v>153924.52718676123</v>
      </c>
      <c r="K124" s="13">
        <f t="shared" si="5"/>
        <v>163448.74000000002</v>
      </c>
    </row>
    <row r="125" spans="1:11" x14ac:dyDescent="0.25">
      <c r="A125" s="4" t="s">
        <v>165</v>
      </c>
      <c r="B125" s="4" t="s">
        <v>6</v>
      </c>
      <c r="C125" s="4" t="s">
        <v>29</v>
      </c>
      <c r="D125" s="12">
        <v>418</v>
      </c>
      <c r="E125" s="12">
        <v>321</v>
      </c>
      <c r="F125" s="13">
        <v>100688</v>
      </c>
      <c r="G125" s="14">
        <v>0.91</v>
      </c>
      <c r="H125" s="13">
        <v>81301</v>
      </c>
      <c r="I125" s="15">
        <f t="shared" si="3"/>
        <v>0.76794258373205737</v>
      </c>
      <c r="J125" s="13">
        <f t="shared" si="4"/>
        <v>77322.602870813396</v>
      </c>
      <c r="K125" s="13">
        <f t="shared" si="5"/>
        <v>91626.08</v>
      </c>
    </row>
    <row r="126" spans="1:11" x14ac:dyDescent="0.25">
      <c r="A126" s="4" t="s">
        <v>166</v>
      </c>
      <c r="B126" s="4" t="s">
        <v>6</v>
      </c>
      <c r="C126" s="4" t="s">
        <v>45</v>
      </c>
      <c r="D126" s="12">
        <v>49200</v>
      </c>
      <c r="E126" s="12">
        <v>39463</v>
      </c>
      <c r="F126" s="13">
        <v>71832</v>
      </c>
      <c r="G126" s="14">
        <v>0.91</v>
      </c>
      <c r="H126" s="13">
        <v>57305</v>
      </c>
      <c r="I126" s="15">
        <f t="shared" si="3"/>
        <v>0.80209349593495938</v>
      </c>
      <c r="J126" s="13">
        <f t="shared" si="4"/>
        <v>57615.98</v>
      </c>
      <c r="K126" s="13">
        <f t="shared" si="5"/>
        <v>65367.12</v>
      </c>
    </row>
    <row r="127" spans="1:11" x14ac:dyDescent="0.25">
      <c r="A127" s="4" t="s">
        <v>167</v>
      </c>
      <c r="B127" s="4" t="s">
        <v>6</v>
      </c>
      <c r="C127" s="4" t="s">
        <v>45</v>
      </c>
      <c r="D127" s="12">
        <v>37208</v>
      </c>
      <c r="E127" s="12">
        <v>37100</v>
      </c>
      <c r="F127" s="13">
        <v>59905</v>
      </c>
      <c r="G127" s="14">
        <v>1</v>
      </c>
      <c r="H127" s="13">
        <v>65554</v>
      </c>
      <c r="I127" s="15">
        <f t="shared" si="3"/>
        <v>0.99709739840894429</v>
      </c>
      <c r="J127" s="13">
        <f t="shared" si="4"/>
        <v>59731.119651687804</v>
      </c>
      <c r="K127" s="13">
        <f t="shared" si="5"/>
        <v>59905</v>
      </c>
    </row>
    <row r="128" spans="1:11" x14ac:dyDescent="0.25">
      <c r="A128" s="4" t="s">
        <v>168</v>
      </c>
      <c r="B128" s="4" t="s">
        <v>6</v>
      </c>
      <c r="C128" s="4" t="s">
        <v>45</v>
      </c>
      <c r="D128" s="12">
        <v>30741</v>
      </c>
      <c r="E128" s="12">
        <v>30527</v>
      </c>
      <c r="F128" s="13">
        <v>56563</v>
      </c>
      <c r="G128" s="14">
        <v>1</v>
      </c>
      <c r="H128" s="13">
        <v>53086</v>
      </c>
      <c r="I128" s="15">
        <f t="shared" si="3"/>
        <v>0.99303861292736084</v>
      </c>
      <c r="J128" s="13">
        <f t="shared" si="4"/>
        <v>56169.243063010312</v>
      </c>
      <c r="K128" s="13">
        <f t="shared" si="5"/>
        <v>56563</v>
      </c>
    </row>
    <row r="129" spans="1:11" x14ac:dyDescent="0.25">
      <c r="A129" s="4" t="s">
        <v>169</v>
      </c>
      <c r="B129" s="4" t="s">
        <v>6</v>
      </c>
      <c r="C129" s="4" t="s">
        <v>29</v>
      </c>
      <c r="D129" s="12">
        <v>2251</v>
      </c>
      <c r="E129" s="12">
        <v>1786</v>
      </c>
      <c r="F129" s="13">
        <v>11323</v>
      </c>
      <c r="G129" s="14">
        <v>0.85</v>
      </c>
      <c r="H129" s="13">
        <v>8655</v>
      </c>
      <c r="I129" s="15">
        <f t="shared" si="3"/>
        <v>0.79342514438027545</v>
      </c>
      <c r="J129" s="13">
        <f t="shared" si="4"/>
        <v>8983.9529098178591</v>
      </c>
      <c r="K129" s="13">
        <f t="shared" si="5"/>
        <v>9624.5499999999993</v>
      </c>
    </row>
    <row r="130" spans="1:11" x14ac:dyDescent="0.25">
      <c r="A130" s="4" t="s">
        <v>170</v>
      </c>
      <c r="B130" s="4" t="s">
        <v>6</v>
      </c>
      <c r="C130" s="4" t="s">
        <v>29</v>
      </c>
      <c r="D130" s="12">
        <v>314</v>
      </c>
      <c r="E130" s="12">
        <v>272</v>
      </c>
      <c r="F130" s="13">
        <v>76315</v>
      </c>
      <c r="G130" s="14">
        <v>1</v>
      </c>
      <c r="H130" s="13">
        <v>63870</v>
      </c>
      <c r="I130" s="15">
        <f t="shared" si="3"/>
        <v>0.86624203821656054</v>
      </c>
      <c r="J130" s="13">
        <f t="shared" si="4"/>
        <v>66107.261146496821</v>
      </c>
      <c r="K130" s="13">
        <f t="shared" si="5"/>
        <v>76315</v>
      </c>
    </row>
    <row r="131" spans="1:11" x14ac:dyDescent="0.25">
      <c r="A131" s="4" t="s">
        <v>171</v>
      </c>
      <c r="B131" s="4" t="s">
        <v>6</v>
      </c>
      <c r="C131" s="4" t="s">
        <v>27</v>
      </c>
      <c r="D131" s="12">
        <v>1035</v>
      </c>
      <c r="E131" s="12">
        <v>837</v>
      </c>
      <c r="F131" s="13">
        <v>51098</v>
      </c>
      <c r="G131" s="14">
        <v>0.93</v>
      </c>
      <c r="H131" s="13">
        <v>42914</v>
      </c>
      <c r="I131" s="15">
        <f t="shared" si="3"/>
        <v>0.80869565217391304</v>
      </c>
      <c r="J131" s="13">
        <f t="shared" si="4"/>
        <v>41322.730434782607</v>
      </c>
      <c r="K131" s="13">
        <f t="shared" si="5"/>
        <v>47521.14</v>
      </c>
    </row>
    <row r="132" spans="1:11" x14ac:dyDescent="0.25">
      <c r="A132" s="4" t="s">
        <v>172</v>
      </c>
      <c r="B132" s="4" t="s">
        <v>6</v>
      </c>
      <c r="C132" s="4" t="s">
        <v>45</v>
      </c>
      <c r="D132" s="12">
        <v>38440</v>
      </c>
      <c r="E132" s="12">
        <v>36267</v>
      </c>
      <c r="F132" s="13">
        <v>99560</v>
      </c>
      <c r="G132" s="14">
        <v>1</v>
      </c>
      <c r="H132" s="13">
        <v>100132</v>
      </c>
      <c r="I132" s="15">
        <f t="shared" si="3"/>
        <v>0.94347034339229974</v>
      </c>
      <c r="J132" s="13">
        <f t="shared" si="4"/>
        <v>93931.907388137362</v>
      </c>
      <c r="K132" s="13">
        <f t="shared" si="5"/>
        <v>99560</v>
      </c>
    </row>
    <row r="133" spans="1:11" x14ac:dyDescent="0.25">
      <c r="A133" s="4" t="s">
        <v>173</v>
      </c>
      <c r="B133" s="4" t="s">
        <v>6</v>
      </c>
      <c r="C133" s="4" t="s">
        <v>29</v>
      </c>
      <c r="D133" s="12">
        <v>435</v>
      </c>
      <c r="E133" s="12">
        <v>411</v>
      </c>
      <c r="F133" s="13">
        <v>114135</v>
      </c>
      <c r="G133" s="14">
        <v>1</v>
      </c>
      <c r="H133" s="13">
        <v>117587</v>
      </c>
      <c r="I133" s="15">
        <f t="shared" ref="I133:I196" si="6">IF(D133&gt;0,MIN(E133/D133,1),0)</f>
        <v>0.94482758620689655</v>
      </c>
      <c r="J133" s="13">
        <f t="shared" ref="J133:J196" si="7">F133*I133</f>
        <v>107837.89655172414</v>
      </c>
      <c r="K133" s="13">
        <f t="shared" ref="K133:K196" si="8">F133*G133</f>
        <v>114135</v>
      </c>
    </row>
    <row r="134" spans="1:11" x14ac:dyDescent="0.25">
      <c r="A134" s="4" t="s">
        <v>174</v>
      </c>
      <c r="B134" s="4" t="s">
        <v>6</v>
      </c>
      <c r="C134" s="4" t="s">
        <v>27</v>
      </c>
      <c r="D134" s="12">
        <v>1213</v>
      </c>
      <c r="E134" s="12">
        <v>994</v>
      </c>
      <c r="F134" s="13">
        <v>33527</v>
      </c>
      <c r="G134" s="14">
        <v>0.9</v>
      </c>
      <c r="H134" s="13">
        <v>28925</v>
      </c>
      <c r="I134" s="15">
        <f t="shared" si="6"/>
        <v>0.81945589447650458</v>
      </c>
      <c r="J134" s="13">
        <f t="shared" si="7"/>
        <v>27473.897774113768</v>
      </c>
      <c r="K134" s="13">
        <f t="shared" si="8"/>
        <v>30174.3</v>
      </c>
    </row>
    <row r="135" spans="1:11" x14ac:dyDescent="0.25">
      <c r="A135" s="4" t="s">
        <v>175</v>
      </c>
      <c r="B135" s="4" t="s">
        <v>6</v>
      </c>
      <c r="C135" s="4" t="s">
        <v>29</v>
      </c>
      <c r="D135" s="12">
        <v>564</v>
      </c>
      <c r="E135" s="12">
        <v>459</v>
      </c>
      <c r="F135" s="13">
        <v>194879</v>
      </c>
      <c r="G135" s="14">
        <v>0.9</v>
      </c>
      <c r="H135" s="13">
        <v>155304</v>
      </c>
      <c r="I135" s="15">
        <f t="shared" si="6"/>
        <v>0.81382978723404253</v>
      </c>
      <c r="J135" s="13">
        <f t="shared" si="7"/>
        <v>158598.33510638296</v>
      </c>
      <c r="K135" s="13">
        <f t="shared" si="8"/>
        <v>175391.1</v>
      </c>
    </row>
    <row r="136" spans="1:11" x14ac:dyDescent="0.25">
      <c r="A136" s="4" t="s">
        <v>176</v>
      </c>
      <c r="B136" s="4" t="s">
        <v>6</v>
      </c>
      <c r="C136" s="4" t="s">
        <v>29</v>
      </c>
      <c r="D136" s="12">
        <v>164</v>
      </c>
      <c r="E136" s="12">
        <v>141</v>
      </c>
      <c r="F136" s="13">
        <v>39877</v>
      </c>
      <c r="G136" s="14">
        <v>0.93</v>
      </c>
      <c r="H136" s="13">
        <v>38128</v>
      </c>
      <c r="I136" s="15">
        <f t="shared" si="6"/>
        <v>0.8597560975609756</v>
      </c>
      <c r="J136" s="13">
        <f t="shared" si="7"/>
        <v>34284.493902439026</v>
      </c>
      <c r="K136" s="13">
        <f t="shared" si="8"/>
        <v>37085.61</v>
      </c>
    </row>
    <row r="137" spans="1:11" x14ac:dyDescent="0.25">
      <c r="A137" s="4" t="s">
        <v>177</v>
      </c>
      <c r="B137" s="4" t="s">
        <v>6</v>
      </c>
      <c r="C137" s="4" t="s">
        <v>45</v>
      </c>
      <c r="D137" s="12">
        <v>36229</v>
      </c>
      <c r="E137" s="12">
        <v>29305</v>
      </c>
      <c r="F137" s="13">
        <v>49271</v>
      </c>
      <c r="G137" s="14">
        <v>0.89</v>
      </c>
      <c r="H137" s="13">
        <v>43433</v>
      </c>
      <c r="I137" s="15">
        <f t="shared" si="6"/>
        <v>0.80888238703800819</v>
      </c>
      <c r="J137" s="13">
        <f t="shared" si="7"/>
        <v>39854.444091749705</v>
      </c>
      <c r="K137" s="13">
        <f t="shared" si="8"/>
        <v>43851.19</v>
      </c>
    </row>
    <row r="138" spans="1:11" x14ac:dyDescent="0.25">
      <c r="A138" s="4" t="s">
        <v>178</v>
      </c>
      <c r="B138" s="4" t="s">
        <v>6</v>
      </c>
      <c r="C138" s="4" t="s">
        <v>45</v>
      </c>
      <c r="D138" s="12">
        <v>39157</v>
      </c>
      <c r="E138" s="12">
        <v>38252</v>
      </c>
      <c r="F138" s="13">
        <v>106899</v>
      </c>
      <c r="G138" s="14">
        <v>1</v>
      </c>
      <c r="H138" s="13">
        <v>110725</v>
      </c>
      <c r="I138" s="15">
        <f t="shared" si="6"/>
        <v>0.97688791276144749</v>
      </c>
      <c r="J138" s="13">
        <f t="shared" si="7"/>
        <v>104428.34098628597</v>
      </c>
      <c r="K138" s="13">
        <f t="shared" si="8"/>
        <v>106899</v>
      </c>
    </row>
    <row r="139" spans="1:11" x14ac:dyDescent="0.25">
      <c r="A139" s="4" t="s">
        <v>179</v>
      </c>
      <c r="B139" s="4" t="s">
        <v>6</v>
      </c>
      <c r="C139" s="4" t="s">
        <v>32</v>
      </c>
      <c r="D139" s="12">
        <v>1292</v>
      </c>
      <c r="E139" s="12">
        <v>990</v>
      </c>
      <c r="F139" s="13">
        <v>58153</v>
      </c>
      <c r="G139" s="14">
        <v>0.85</v>
      </c>
      <c r="H139" s="13">
        <v>47384</v>
      </c>
      <c r="I139" s="15">
        <f t="shared" si="6"/>
        <v>0.76625386996904021</v>
      </c>
      <c r="J139" s="13">
        <f t="shared" si="7"/>
        <v>44559.961300309595</v>
      </c>
      <c r="K139" s="13">
        <f t="shared" si="8"/>
        <v>49430.049999999996</v>
      </c>
    </row>
    <row r="140" spans="1:11" x14ac:dyDescent="0.25">
      <c r="A140" s="4" t="s">
        <v>180</v>
      </c>
      <c r="B140" s="4" t="s">
        <v>6</v>
      </c>
      <c r="C140" s="4" t="s">
        <v>27</v>
      </c>
      <c r="D140" s="12">
        <v>1359</v>
      </c>
      <c r="E140" s="12">
        <v>1103</v>
      </c>
      <c r="F140" s="13">
        <v>54455</v>
      </c>
      <c r="G140" s="14">
        <v>0.94</v>
      </c>
      <c r="H140" s="13">
        <v>44532</v>
      </c>
      <c r="I140" s="15">
        <f t="shared" si="6"/>
        <v>0.811626195732156</v>
      </c>
      <c r="J140" s="13">
        <f t="shared" si="7"/>
        <v>44197.104488594552</v>
      </c>
      <c r="K140" s="13">
        <f t="shared" si="8"/>
        <v>51187.7</v>
      </c>
    </row>
    <row r="141" spans="1:11" x14ac:dyDescent="0.25">
      <c r="A141" s="4" t="s">
        <v>181</v>
      </c>
      <c r="B141" s="4" t="s">
        <v>6</v>
      </c>
      <c r="C141" s="4" t="s">
        <v>29</v>
      </c>
      <c r="D141" s="12">
        <v>6312</v>
      </c>
      <c r="E141" s="12">
        <v>5759</v>
      </c>
      <c r="F141" s="13">
        <v>41217</v>
      </c>
      <c r="G141" s="14">
        <v>0.97</v>
      </c>
      <c r="H141" s="13">
        <v>36432</v>
      </c>
      <c r="I141" s="15">
        <f t="shared" si="6"/>
        <v>0.91238910012674268</v>
      </c>
      <c r="J141" s="13">
        <f t="shared" si="7"/>
        <v>37605.941539923951</v>
      </c>
      <c r="K141" s="13">
        <f t="shared" si="8"/>
        <v>39980.49</v>
      </c>
    </row>
    <row r="142" spans="1:11" x14ac:dyDescent="0.25">
      <c r="A142" s="4" t="s">
        <v>182</v>
      </c>
      <c r="B142" s="4" t="s">
        <v>6</v>
      </c>
      <c r="C142" s="4" t="s">
        <v>29</v>
      </c>
      <c r="D142" s="12">
        <v>451</v>
      </c>
      <c r="E142" s="12">
        <v>391</v>
      </c>
      <c r="F142" s="13">
        <v>96054</v>
      </c>
      <c r="G142" s="14">
        <v>0.91</v>
      </c>
      <c r="H142" s="13">
        <v>93245</v>
      </c>
      <c r="I142" s="15">
        <f t="shared" si="6"/>
        <v>0.86696230598669621</v>
      </c>
      <c r="J142" s="13">
        <f t="shared" si="7"/>
        <v>83275.197339246122</v>
      </c>
      <c r="K142" s="13">
        <f t="shared" si="8"/>
        <v>87409.14</v>
      </c>
    </row>
    <row r="143" spans="1:11" x14ac:dyDescent="0.25">
      <c r="A143" s="4" t="s">
        <v>183</v>
      </c>
      <c r="B143" s="4" t="s">
        <v>6</v>
      </c>
      <c r="C143" s="4" t="s">
        <v>29</v>
      </c>
      <c r="D143" s="12">
        <v>131</v>
      </c>
      <c r="E143" s="12">
        <v>98</v>
      </c>
      <c r="F143" s="13">
        <v>36735</v>
      </c>
      <c r="G143" s="14">
        <v>0.93</v>
      </c>
      <c r="H143" s="13">
        <v>30667</v>
      </c>
      <c r="I143" s="15">
        <f t="shared" si="6"/>
        <v>0.74809160305343514</v>
      </c>
      <c r="J143" s="13">
        <f t="shared" si="7"/>
        <v>27481.145038167939</v>
      </c>
      <c r="K143" s="13">
        <f t="shared" si="8"/>
        <v>34163.550000000003</v>
      </c>
    </row>
    <row r="144" spans="1:11" x14ac:dyDescent="0.25">
      <c r="A144" s="4" t="s">
        <v>184</v>
      </c>
      <c r="B144" s="4" t="s">
        <v>6</v>
      </c>
      <c r="C144" s="4" t="s">
        <v>45</v>
      </c>
      <c r="D144" s="12">
        <v>11497</v>
      </c>
      <c r="E144" s="12">
        <v>9287</v>
      </c>
      <c r="F144" s="13">
        <v>28857</v>
      </c>
      <c r="G144" s="14">
        <v>0.92</v>
      </c>
      <c r="H144" s="13">
        <v>22834</v>
      </c>
      <c r="I144" s="15">
        <f t="shared" si="6"/>
        <v>0.80777594154996957</v>
      </c>
      <c r="J144" s="13">
        <f t="shared" si="7"/>
        <v>23309.990345307473</v>
      </c>
      <c r="K144" s="13">
        <f t="shared" si="8"/>
        <v>26548.440000000002</v>
      </c>
    </row>
    <row r="145" spans="1:11" x14ac:dyDescent="0.25">
      <c r="A145" s="4" t="s">
        <v>185</v>
      </c>
      <c r="B145" s="4" t="s">
        <v>6</v>
      </c>
      <c r="C145" s="4" t="s">
        <v>29</v>
      </c>
      <c r="D145" s="12">
        <v>103</v>
      </c>
      <c r="E145" s="12">
        <v>87</v>
      </c>
      <c r="F145" s="13">
        <v>32577</v>
      </c>
      <c r="G145" s="14">
        <v>1</v>
      </c>
      <c r="H145" s="13">
        <v>27541</v>
      </c>
      <c r="I145" s="15">
        <f t="shared" si="6"/>
        <v>0.84466019417475724</v>
      </c>
      <c r="J145" s="13">
        <f t="shared" si="7"/>
        <v>27516.495145631066</v>
      </c>
      <c r="K145" s="13">
        <f t="shared" si="8"/>
        <v>32577</v>
      </c>
    </row>
    <row r="146" spans="1:11" x14ac:dyDescent="0.25">
      <c r="A146" s="4" t="s">
        <v>186</v>
      </c>
      <c r="B146" s="4" t="s">
        <v>6</v>
      </c>
      <c r="C146" s="4" t="s">
        <v>29</v>
      </c>
      <c r="D146" s="12">
        <v>3664</v>
      </c>
      <c r="E146" s="12">
        <v>2961</v>
      </c>
      <c r="F146" s="13">
        <v>37519</v>
      </c>
      <c r="G146" s="14">
        <v>0.86</v>
      </c>
      <c r="H146" s="13">
        <v>32388</v>
      </c>
      <c r="I146" s="15">
        <f t="shared" si="6"/>
        <v>0.80813318777292575</v>
      </c>
      <c r="J146" s="13">
        <f t="shared" si="7"/>
        <v>30320.349072052402</v>
      </c>
      <c r="K146" s="13">
        <f t="shared" si="8"/>
        <v>32266.34</v>
      </c>
    </row>
    <row r="147" spans="1:11" x14ac:dyDescent="0.25">
      <c r="A147" s="4" t="s">
        <v>187</v>
      </c>
      <c r="B147" s="4" t="s">
        <v>6</v>
      </c>
      <c r="C147" s="4" t="s">
        <v>45</v>
      </c>
      <c r="D147" s="12">
        <v>44456</v>
      </c>
      <c r="E147" s="12">
        <v>40016</v>
      </c>
      <c r="F147" s="13">
        <v>90246</v>
      </c>
      <c r="G147" s="14">
        <v>1</v>
      </c>
      <c r="H147" s="13">
        <v>87597</v>
      </c>
      <c r="I147" s="15">
        <f t="shared" si="6"/>
        <v>0.90012596724851535</v>
      </c>
      <c r="J147" s="13">
        <f t="shared" si="7"/>
        <v>81232.768040309515</v>
      </c>
      <c r="K147" s="13">
        <f t="shared" si="8"/>
        <v>90246</v>
      </c>
    </row>
    <row r="148" spans="1:11" x14ac:dyDescent="0.25">
      <c r="A148" s="4" t="s">
        <v>188</v>
      </c>
      <c r="B148" s="4" t="s">
        <v>6</v>
      </c>
      <c r="C148" s="4" t="s">
        <v>45</v>
      </c>
      <c r="D148" s="12">
        <v>27938</v>
      </c>
      <c r="E148" s="12">
        <v>22310</v>
      </c>
      <c r="F148" s="13">
        <v>47774</v>
      </c>
      <c r="G148" s="14">
        <v>0.85</v>
      </c>
      <c r="H148" s="13">
        <v>42951</v>
      </c>
      <c r="I148" s="15">
        <f t="shared" si="6"/>
        <v>0.79855394086906717</v>
      </c>
      <c r="J148" s="13">
        <f t="shared" si="7"/>
        <v>38150.115971078812</v>
      </c>
      <c r="K148" s="13">
        <f t="shared" si="8"/>
        <v>40607.9</v>
      </c>
    </row>
    <row r="149" spans="1:11" x14ac:dyDescent="0.25">
      <c r="A149" s="4" t="s">
        <v>189</v>
      </c>
      <c r="B149" s="4" t="s">
        <v>6</v>
      </c>
      <c r="C149" s="4" t="s">
        <v>32</v>
      </c>
      <c r="D149" s="12">
        <v>2467</v>
      </c>
      <c r="E149" s="12">
        <v>2166</v>
      </c>
      <c r="F149" s="13">
        <v>120858</v>
      </c>
      <c r="G149" s="14">
        <v>0.95</v>
      </c>
      <c r="H149" s="13">
        <v>109773</v>
      </c>
      <c r="I149" s="15">
        <f t="shared" si="6"/>
        <v>0.87798946088366436</v>
      </c>
      <c r="J149" s="13">
        <f t="shared" si="7"/>
        <v>106112.05026347791</v>
      </c>
      <c r="K149" s="13">
        <f t="shared" si="8"/>
        <v>114815.09999999999</v>
      </c>
    </row>
    <row r="150" spans="1:11" x14ac:dyDescent="0.25">
      <c r="A150" s="4" t="s">
        <v>190</v>
      </c>
      <c r="B150" s="4" t="s">
        <v>6</v>
      </c>
      <c r="C150" s="4" t="s">
        <v>32</v>
      </c>
      <c r="D150" s="12">
        <v>1895</v>
      </c>
      <c r="E150" s="12">
        <v>1707</v>
      </c>
      <c r="F150" s="13">
        <v>88667</v>
      </c>
      <c r="G150" s="14">
        <v>1</v>
      </c>
      <c r="H150" s="13">
        <v>77496</v>
      </c>
      <c r="I150" s="15">
        <f t="shared" si="6"/>
        <v>0.90079155672823219</v>
      </c>
      <c r="J150" s="13">
        <f t="shared" si="7"/>
        <v>79870.484960422167</v>
      </c>
      <c r="K150" s="13">
        <f t="shared" si="8"/>
        <v>88667</v>
      </c>
    </row>
    <row r="151" spans="1:11" x14ac:dyDescent="0.25">
      <c r="A151" s="4" t="s">
        <v>191</v>
      </c>
      <c r="B151" s="4" t="s">
        <v>6</v>
      </c>
      <c r="C151" s="4" t="s">
        <v>27</v>
      </c>
      <c r="D151" s="12">
        <v>1212</v>
      </c>
      <c r="E151" s="12">
        <v>1110</v>
      </c>
      <c r="F151" s="13">
        <v>51425</v>
      </c>
      <c r="G151" s="14">
        <v>0.96</v>
      </c>
      <c r="H151" s="13">
        <v>52900</v>
      </c>
      <c r="I151" s="15">
        <f t="shared" si="6"/>
        <v>0.91584158415841588</v>
      </c>
      <c r="J151" s="13">
        <f t="shared" si="7"/>
        <v>47097.153465346535</v>
      </c>
      <c r="K151" s="13">
        <f t="shared" si="8"/>
        <v>49368</v>
      </c>
    </row>
    <row r="152" spans="1:11" x14ac:dyDescent="0.25">
      <c r="A152" s="4" t="s">
        <v>192</v>
      </c>
      <c r="B152" s="4" t="s">
        <v>6</v>
      </c>
      <c r="C152" s="4" t="s">
        <v>29</v>
      </c>
      <c r="D152" s="12">
        <v>194</v>
      </c>
      <c r="E152" s="12">
        <v>176</v>
      </c>
      <c r="F152" s="13">
        <v>63475</v>
      </c>
      <c r="G152" s="14">
        <v>1</v>
      </c>
      <c r="H152" s="13">
        <v>62207</v>
      </c>
      <c r="I152" s="15">
        <f t="shared" si="6"/>
        <v>0.90721649484536082</v>
      </c>
      <c r="J152" s="13">
        <f t="shared" si="7"/>
        <v>57585.567010309278</v>
      </c>
      <c r="K152" s="13">
        <f t="shared" si="8"/>
        <v>63475</v>
      </c>
    </row>
    <row r="153" spans="1:11" x14ac:dyDescent="0.25">
      <c r="A153" s="4" t="s">
        <v>193</v>
      </c>
      <c r="B153" s="4" t="s">
        <v>6</v>
      </c>
      <c r="C153" s="4" t="s">
        <v>29</v>
      </c>
      <c r="D153" s="12">
        <v>762</v>
      </c>
      <c r="E153" s="12">
        <v>638</v>
      </c>
      <c r="F153" s="13">
        <v>177980</v>
      </c>
      <c r="G153" s="14">
        <v>0.88</v>
      </c>
      <c r="H153" s="13">
        <v>166312</v>
      </c>
      <c r="I153" s="15">
        <f t="shared" si="6"/>
        <v>0.83727034120734911</v>
      </c>
      <c r="J153" s="13">
        <f t="shared" si="7"/>
        <v>149017.37532808399</v>
      </c>
      <c r="K153" s="13">
        <f t="shared" si="8"/>
        <v>156622.39999999999</v>
      </c>
    </row>
    <row r="154" spans="1:11" x14ac:dyDescent="0.25">
      <c r="A154" s="4" t="s">
        <v>194</v>
      </c>
      <c r="B154" s="4" t="s">
        <v>6</v>
      </c>
      <c r="C154" s="4" t="s">
        <v>29</v>
      </c>
      <c r="D154" s="12">
        <v>262</v>
      </c>
      <c r="E154" s="12">
        <v>219</v>
      </c>
      <c r="F154" s="13">
        <v>75228</v>
      </c>
      <c r="G154" s="14">
        <v>0.88</v>
      </c>
      <c r="H154" s="13">
        <v>63835</v>
      </c>
      <c r="I154" s="15">
        <f t="shared" si="6"/>
        <v>0.83587786259541985</v>
      </c>
      <c r="J154" s="13">
        <f t="shared" si="7"/>
        <v>62881.419847328245</v>
      </c>
      <c r="K154" s="13">
        <f t="shared" si="8"/>
        <v>66200.639999999999</v>
      </c>
    </row>
    <row r="155" spans="1:11" x14ac:dyDescent="0.25">
      <c r="A155" s="4" t="s">
        <v>195</v>
      </c>
      <c r="B155" s="4" t="s">
        <v>6</v>
      </c>
      <c r="C155" s="4" t="s">
        <v>32</v>
      </c>
      <c r="D155" s="12">
        <v>365</v>
      </c>
      <c r="E155" s="12">
        <v>365</v>
      </c>
      <c r="F155" s="13">
        <v>17640</v>
      </c>
      <c r="G155" s="14">
        <v>1</v>
      </c>
      <c r="H155" s="13">
        <v>19794</v>
      </c>
      <c r="I155" s="15">
        <f t="shared" si="6"/>
        <v>1</v>
      </c>
      <c r="J155" s="13">
        <f t="shared" si="7"/>
        <v>17640</v>
      </c>
      <c r="K155" s="13">
        <f t="shared" si="8"/>
        <v>17640</v>
      </c>
    </row>
    <row r="156" spans="1:11" x14ac:dyDescent="0.25">
      <c r="A156" s="4" t="s">
        <v>196</v>
      </c>
      <c r="B156" s="4" t="s">
        <v>6</v>
      </c>
      <c r="C156" s="4" t="s">
        <v>29</v>
      </c>
      <c r="D156" s="12">
        <v>61</v>
      </c>
      <c r="E156" s="12">
        <v>46</v>
      </c>
      <c r="F156" s="13">
        <v>16074</v>
      </c>
      <c r="G156" s="14">
        <v>0.91</v>
      </c>
      <c r="H156" s="13">
        <v>12988</v>
      </c>
      <c r="I156" s="15">
        <f t="shared" si="6"/>
        <v>0.75409836065573765</v>
      </c>
      <c r="J156" s="13">
        <f t="shared" si="7"/>
        <v>12121.377049180328</v>
      </c>
      <c r="K156" s="13">
        <f t="shared" si="8"/>
        <v>14627.34</v>
      </c>
    </row>
    <row r="157" spans="1:11" x14ac:dyDescent="0.25">
      <c r="A157" s="4" t="s">
        <v>197</v>
      </c>
      <c r="B157" s="4" t="s">
        <v>6</v>
      </c>
      <c r="C157" s="4" t="s">
        <v>27</v>
      </c>
      <c r="D157" s="12">
        <v>829</v>
      </c>
      <c r="E157" s="12">
        <v>811</v>
      </c>
      <c r="F157" s="13">
        <v>18238</v>
      </c>
      <c r="G157" s="14">
        <v>1</v>
      </c>
      <c r="H157" s="13">
        <v>19220</v>
      </c>
      <c r="I157" s="15">
        <f t="shared" si="6"/>
        <v>0.97828709288299154</v>
      </c>
      <c r="J157" s="13">
        <f t="shared" si="7"/>
        <v>17842</v>
      </c>
      <c r="K157" s="13">
        <f t="shared" si="8"/>
        <v>18238</v>
      </c>
    </row>
    <row r="158" spans="1:11" x14ac:dyDescent="0.25">
      <c r="A158" s="4" t="s">
        <v>198</v>
      </c>
      <c r="B158" s="4" t="s">
        <v>6</v>
      </c>
      <c r="C158" s="4" t="s">
        <v>29</v>
      </c>
      <c r="D158" s="12">
        <v>171</v>
      </c>
      <c r="E158" s="12">
        <v>163</v>
      </c>
      <c r="F158" s="13">
        <v>43723</v>
      </c>
      <c r="G158" s="14">
        <v>1</v>
      </c>
      <c r="H158" s="13">
        <v>39786</v>
      </c>
      <c r="I158" s="15">
        <f t="shared" si="6"/>
        <v>0.95321637426900585</v>
      </c>
      <c r="J158" s="13">
        <f t="shared" si="7"/>
        <v>41677.479532163743</v>
      </c>
      <c r="K158" s="13">
        <f t="shared" si="8"/>
        <v>43723</v>
      </c>
    </row>
    <row r="159" spans="1:11" x14ac:dyDescent="0.25">
      <c r="A159" s="4" t="s">
        <v>199</v>
      </c>
      <c r="B159" s="4" t="s">
        <v>6</v>
      </c>
      <c r="C159" s="4" t="s">
        <v>29</v>
      </c>
      <c r="D159" s="12">
        <v>817</v>
      </c>
      <c r="E159" s="12">
        <v>689</v>
      </c>
      <c r="F159" s="13">
        <v>174013</v>
      </c>
      <c r="G159" s="14">
        <v>0.98</v>
      </c>
      <c r="H159" s="13">
        <v>139963</v>
      </c>
      <c r="I159" s="15">
        <f t="shared" si="6"/>
        <v>0.84332925336597309</v>
      </c>
      <c r="J159" s="13">
        <f t="shared" si="7"/>
        <v>146750.25336597307</v>
      </c>
      <c r="K159" s="13">
        <f t="shared" si="8"/>
        <v>170532.74</v>
      </c>
    </row>
    <row r="160" spans="1:11" x14ac:dyDescent="0.25">
      <c r="A160" s="4" t="s">
        <v>200</v>
      </c>
      <c r="B160" s="4" t="s">
        <v>6</v>
      </c>
      <c r="C160" s="4" t="s">
        <v>29</v>
      </c>
      <c r="D160" s="12">
        <v>9486</v>
      </c>
      <c r="E160" s="12">
        <v>7299</v>
      </c>
      <c r="F160" s="13">
        <v>79777</v>
      </c>
      <c r="G160" s="14">
        <v>0.81</v>
      </c>
      <c r="H160" s="13">
        <v>65028</v>
      </c>
      <c r="I160" s="15">
        <f t="shared" si="6"/>
        <v>0.76944971537001894</v>
      </c>
      <c r="J160" s="13">
        <f t="shared" si="7"/>
        <v>61384.389943073998</v>
      </c>
      <c r="K160" s="13">
        <f t="shared" si="8"/>
        <v>64619.37</v>
      </c>
    </row>
    <row r="161" spans="1:11" x14ac:dyDescent="0.25">
      <c r="A161" s="4" t="s">
        <v>201</v>
      </c>
      <c r="B161" s="4" t="s">
        <v>6</v>
      </c>
      <c r="C161" s="4" t="s">
        <v>29</v>
      </c>
      <c r="D161" s="12">
        <v>668</v>
      </c>
      <c r="E161" s="12">
        <v>584</v>
      </c>
      <c r="F161" s="13">
        <v>130915</v>
      </c>
      <c r="G161" s="14">
        <v>0.99</v>
      </c>
      <c r="H161" s="13">
        <v>117076</v>
      </c>
      <c r="I161" s="15">
        <f t="shared" si="6"/>
        <v>0.87425149700598803</v>
      </c>
      <c r="J161" s="13">
        <f t="shared" si="7"/>
        <v>114452.63473053892</v>
      </c>
      <c r="K161" s="13">
        <f t="shared" si="8"/>
        <v>129605.85</v>
      </c>
    </row>
    <row r="162" spans="1:11" x14ac:dyDescent="0.25">
      <c r="A162" s="4" t="s">
        <v>202</v>
      </c>
      <c r="B162" s="4" t="s">
        <v>6</v>
      </c>
      <c r="C162" s="4" t="s">
        <v>29</v>
      </c>
      <c r="D162" s="12">
        <v>7609</v>
      </c>
      <c r="E162" s="12">
        <v>6483</v>
      </c>
      <c r="F162" s="13">
        <v>74873</v>
      </c>
      <c r="G162" s="14">
        <v>1</v>
      </c>
      <c r="H162" s="13">
        <v>69969</v>
      </c>
      <c r="I162" s="15">
        <f t="shared" si="6"/>
        <v>0.85201734787751349</v>
      </c>
      <c r="J162" s="13">
        <f t="shared" si="7"/>
        <v>63793.094887633066</v>
      </c>
      <c r="K162" s="13">
        <f t="shared" si="8"/>
        <v>74873</v>
      </c>
    </row>
    <row r="163" spans="1:11" x14ac:dyDescent="0.25">
      <c r="A163" s="4" t="s">
        <v>203</v>
      </c>
      <c r="B163" s="4" t="s">
        <v>6</v>
      </c>
      <c r="C163" s="4" t="s">
        <v>29</v>
      </c>
      <c r="D163" s="12">
        <v>8431</v>
      </c>
      <c r="E163" s="12">
        <v>7723</v>
      </c>
      <c r="F163" s="13">
        <v>63317</v>
      </c>
      <c r="G163" s="14">
        <v>0.98</v>
      </c>
      <c r="H163" s="13">
        <v>61279</v>
      </c>
      <c r="I163" s="15">
        <f t="shared" si="6"/>
        <v>0.91602419641798127</v>
      </c>
      <c r="J163" s="13">
        <f t="shared" si="7"/>
        <v>57999.904044597322</v>
      </c>
      <c r="K163" s="13">
        <f t="shared" si="8"/>
        <v>62050.659999999996</v>
      </c>
    </row>
    <row r="164" spans="1:11" x14ac:dyDescent="0.25">
      <c r="A164" s="4" t="s">
        <v>204</v>
      </c>
      <c r="B164" s="4" t="s">
        <v>6</v>
      </c>
      <c r="C164" s="4" t="s">
        <v>29</v>
      </c>
      <c r="D164" s="12">
        <v>99</v>
      </c>
      <c r="E164" s="12">
        <v>87</v>
      </c>
      <c r="F164" s="13">
        <v>33906</v>
      </c>
      <c r="G164" s="14">
        <v>1</v>
      </c>
      <c r="H164" s="13">
        <v>29423</v>
      </c>
      <c r="I164" s="15">
        <f t="shared" si="6"/>
        <v>0.87878787878787878</v>
      </c>
      <c r="J164" s="13">
        <f t="shared" si="7"/>
        <v>29796.18181818182</v>
      </c>
      <c r="K164" s="13">
        <f t="shared" si="8"/>
        <v>33906</v>
      </c>
    </row>
    <row r="165" spans="1:11" x14ac:dyDescent="0.25">
      <c r="A165" s="4" t="s">
        <v>205</v>
      </c>
      <c r="B165" s="4" t="s">
        <v>6</v>
      </c>
      <c r="C165" s="4" t="s">
        <v>27</v>
      </c>
      <c r="D165" s="12">
        <v>2166</v>
      </c>
      <c r="E165" s="12">
        <v>1840</v>
      </c>
      <c r="F165" s="13">
        <v>83543</v>
      </c>
      <c r="G165" s="14">
        <v>0.93</v>
      </c>
      <c r="H165" s="13">
        <v>74966</v>
      </c>
      <c r="I165" s="15">
        <f t="shared" si="6"/>
        <v>0.8494921514312096</v>
      </c>
      <c r="J165" s="13">
        <f t="shared" si="7"/>
        <v>70969.122807017542</v>
      </c>
      <c r="K165" s="13">
        <f t="shared" si="8"/>
        <v>77694.990000000005</v>
      </c>
    </row>
    <row r="166" spans="1:11" x14ac:dyDescent="0.25">
      <c r="A166" s="4" t="s">
        <v>206</v>
      </c>
      <c r="B166" s="4" t="s">
        <v>6</v>
      </c>
      <c r="C166" s="4" t="s">
        <v>45</v>
      </c>
      <c r="D166" s="12">
        <v>58264</v>
      </c>
      <c r="E166" s="12">
        <v>58093</v>
      </c>
      <c r="F166" s="13">
        <v>73995</v>
      </c>
      <c r="G166" s="14">
        <v>1</v>
      </c>
      <c r="H166" s="13">
        <v>81082</v>
      </c>
      <c r="I166" s="15">
        <f t="shared" si="6"/>
        <v>0.99706508307016339</v>
      </c>
      <c r="J166" s="13">
        <f t="shared" si="7"/>
        <v>73777.830821776734</v>
      </c>
      <c r="K166" s="13">
        <f t="shared" si="8"/>
        <v>73995</v>
      </c>
    </row>
    <row r="167" spans="1:11" x14ac:dyDescent="0.25">
      <c r="A167" s="4" t="s">
        <v>207</v>
      </c>
      <c r="B167" s="4" t="s">
        <v>6</v>
      </c>
      <c r="C167" s="4" t="s">
        <v>29</v>
      </c>
      <c r="D167" s="12">
        <v>59</v>
      </c>
      <c r="E167" s="12">
        <v>54</v>
      </c>
      <c r="F167" s="13">
        <v>19285</v>
      </c>
      <c r="G167" s="14">
        <v>1</v>
      </c>
      <c r="H167" s="13">
        <v>17662</v>
      </c>
      <c r="I167" s="15">
        <f t="shared" si="6"/>
        <v>0.9152542372881356</v>
      </c>
      <c r="J167" s="13">
        <f t="shared" si="7"/>
        <v>17650.677966101695</v>
      </c>
      <c r="K167" s="13">
        <f t="shared" si="8"/>
        <v>19285</v>
      </c>
    </row>
    <row r="168" spans="1:11" x14ac:dyDescent="0.25">
      <c r="A168" s="4" t="s">
        <v>208</v>
      </c>
      <c r="B168" s="4" t="s">
        <v>6</v>
      </c>
      <c r="C168" s="4" t="s">
        <v>45</v>
      </c>
      <c r="D168" s="12">
        <v>50698</v>
      </c>
      <c r="E168" s="12">
        <v>38674</v>
      </c>
      <c r="F168" s="13">
        <v>90749</v>
      </c>
      <c r="G168" s="14">
        <v>0.92</v>
      </c>
      <c r="H168" s="13">
        <v>66754</v>
      </c>
      <c r="I168" s="15">
        <f t="shared" si="6"/>
        <v>0.76283088090259976</v>
      </c>
      <c r="J168" s="13">
        <f t="shared" si="7"/>
        <v>69226.139611030027</v>
      </c>
      <c r="K168" s="13">
        <f t="shared" si="8"/>
        <v>83489.08</v>
      </c>
    </row>
    <row r="169" spans="1:11" x14ac:dyDescent="0.25">
      <c r="A169" s="4" t="s">
        <v>209</v>
      </c>
      <c r="B169" s="4" t="s">
        <v>6</v>
      </c>
      <c r="C169" s="4" t="s">
        <v>32</v>
      </c>
      <c r="D169" s="12">
        <v>846</v>
      </c>
      <c r="E169" s="12">
        <v>821</v>
      </c>
      <c r="F169" s="13">
        <v>23832</v>
      </c>
      <c r="G169" s="14">
        <v>1</v>
      </c>
      <c r="H169" s="13">
        <v>22160</v>
      </c>
      <c r="I169" s="15">
        <f t="shared" si="6"/>
        <v>0.97044917257683216</v>
      </c>
      <c r="J169" s="13">
        <f t="shared" si="7"/>
        <v>23127.744680851065</v>
      </c>
      <c r="K169" s="13">
        <f t="shared" si="8"/>
        <v>23832</v>
      </c>
    </row>
    <row r="170" spans="1:11" x14ac:dyDescent="0.25">
      <c r="A170" s="4" t="s">
        <v>210</v>
      </c>
      <c r="B170" s="4" t="s">
        <v>6</v>
      </c>
      <c r="C170" s="4" t="s">
        <v>27</v>
      </c>
      <c r="D170" s="12">
        <v>1700</v>
      </c>
      <c r="E170" s="12">
        <v>1283</v>
      </c>
      <c r="F170" s="13">
        <v>93857</v>
      </c>
      <c r="G170" s="14">
        <v>0.92</v>
      </c>
      <c r="H170" s="13">
        <v>77853</v>
      </c>
      <c r="I170" s="15">
        <f t="shared" si="6"/>
        <v>0.75470588235294123</v>
      </c>
      <c r="J170" s="13">
        <f t="shared" si="7"/>
        <v>70834.430000000008</v>
      </c>
      <c r="K170" s="13">
        <f t="shared" si="8"/>
        <v>86348.44</v>
      </c>
    </row>
    <row r="171" spans="1:11" x14ac:dyDescent="0.25">
      <c r="A171" s="4" t="s">
        <v>211</v>
      </c>
      <c r="B171" s="4" t="s">
        <v>6</v>
      </c>
      <c r="C171" s="4" t="s">
        <v>29</v>
      </c>
      <c r="D171" s="12">
        <v>212</v>
      </c>
      <c r="E171" s="12">
        <v>202</v>
      </c>
      <c r="F171" s="13">
        <v>66693</v>
      </c>
      <c r="G171" s="14">
        <v>1</v>
      </c>
      <c r="H171" s="13">
        <v>62488</v>
      </c>
      <c r="I171" s="15">
        <f t="shared" si="6"/>
        <v>0.95283018867924529</v>
      </c>
      <c r="J171" s="13">
        <f t="shared" si="7"/>
        <v>63547.10377358491</v>
      </c>
      <c r="K171" s="13">
        <f t="shared" si="8"/>
        <v>66693</v>
      </c>
    </row>
    <row r="172" spans="1:11" x14ac:dyDescent="0.25">
      <c r="A172" s="4" t="s">
        <v>212</v>
      </c>
      <c r="B172" s="4" t="s">
        <v>6</v>
      </c>
      <c r="C172" s="4" t="s">
        <v>29</v>
      </c>
      <c r="D172" s="12">
        <v>412</v>
      </c>
      <c r="E172" s="12">
        <v>349</v>
      </c>
      <c r="F172" s="13">
        <v>97858</v>
      </c>
      <c r="G172" s="14">
        <v>0.95</v>
      </c>
      <c r="H172" s="13">
        <v>79112</v>
      </c>
      <c r="I172" s="15">
        <f t="shared" si="6"/>
        <v>0.84708737864077666</v>
      </c>
      <c r="J172" s="13">
        <f t="shared" si="7"/>
        <v>82894.276699029127</v>
      </c>
      <c r="K172" s="13">
        <f t="shared" si="8"/>
        <v>92965.099999999991</v>
      </c>
    </row>
    <row r="173" spans="1:11" x14ac:dyDescent="0.25">
      <c r="A173" s="4" t="s">
        <v>213</v>
      </c>
      <c r="B173" s="4" t="s">
        <v>6</v>
      </c>
      <c r="C173" s="4" t="s">
        <v>29</v>
      </c>
      <c r="D173" s="12">
        <v>8820</v>
      </c>
      <c r="E173" s="12">
        <v>8692</v>
      </c>
      <c r="F173" s="13">
        <v>78586</v>
      </c>
      <c r="G173" s="14">
        <v>1</v>
      </c>
      <c r="H173" s="13">
        <v>87468</v>
      </c>
      <c r="I173" s="15">
        <f t="shared" si="6"/>
        <v>0.98548752834467124</v>
      </c>
      <c r="J173" s="13">
        <f t="shared" si="7"/>
        <v>77445.52290249434</v>
      </c>
      <c r="K173" s="13">
        <f t="shared" si="8"/>
        <v>78586</v>
      </c>
    </row>
    <row r="174" spans="1:11" x14ac:dyDescent="0.25">
      <c r="A174" s="4" t="s">
        <v>214</v>
      </c>
      <c r="B174" s="4" t="s">
        <v>6</v>
      </c>
      <c r="C174" s="4" t="s">
        <v>29</v>
      </c>
      <c r="D174" s="12">
        <v>5374</v>
      </c>
      <c r="E174" s="12">
        <v>4614</v>
      </c>
      <c r="F174" s="13">
        <v>33749</v>
      </c>
      <c r="G174" s="14">
        <v>0.92</v>
      </c>
      <c r="H174" s="13">
        <v>29071</v>
      </c>
      <c r="I174" s="15">
        <f t="shared" si="6"/>
        <v>0.85857834015630818</v>
      </c>
      <c r="J174" s="13">
        <f t="shared" si="7"/>
        <v>28976.160401935245</v>
      </c>
      <c r="K174" s="13">
        <f t="shared" si="8"/>
        <v>31049.08</v>
      </c>
    </row>
    <row r="175" spans="1:11" x14ac:dyDescent="0.25">
      <c r="A175" s="4" t="s">
        <v>215</v>
      </c>
      <c r="B175" s="4" t="s">
        <v>6</v>
      </c>
      <c r="C175" s="4" t="s">
        <v>29</v>
      </c>
      <c r="D175" s="12">
        <v>8216</v>
      </c>
      <c r="E175" s="12">
        <v>6395</v>
      </c>
      <c r="F175" s="13">
        <v>71479</v>
      </c>
      <c r="G175" s="14">
        <v>0.83</v>
      </c>
      <c r="H175" s="13">
        <v>53517</v>
      </c>
      <c r="I175" s="15">
        <f t="shared" si="6"/>
        <v>0.7783592989289192</v>
      </c>
      <c r="J175" s="13">
        <f t="shared" si="7"/>
        <v>55636.344328140214</v>
      </c>
      <c r="K175" s="13">
        <f t="shared" si="8"/>
        <v>59327.57</v>
      </c>
    </row>
    <row r="176" spans="1:11" x14ac:dyDescent="0.25">
      <c r="A176" s="4" t="s">
        <v>216</v>
      </c>
      <c r="B176" s="4" t="s">
        <v>6</v>
      </c>
      <c r="C176" s="4" t="s">
        <v>45</v>
      </c>
      <c r="D176" s="12">
        <v>33352</v>
      </c>
      <c r="E176" s="12">
        <v>29832</v>
      </c>
      <c r="F176" s="13">
        <v>46359</v>
      </c>
      <c r="G176" s="14">
        <v>0.99</v>
      </c>
      <c r="H176" s="13">
        <v>40762</v>
      </c>
      <c r="I176" s="15">
        <f t="shared" si="6"/>
        <v>0.89445910290237463</v>
      </c>
      <c r="J176" s="13">
        <f t="shared" si="7"/>
        <v>41466.229551451186</v>
      </c>
      <c r="K176" s="13">
        <f t="shared" si="8"/>
        <v>45895.409999999996</v>
      </c>
    </row>
    <row r="177" spans="1:11" x14ac:dyDescent="0.25">
      <c r="A177" s="4" t="s">
        <v>217</v>
      </c>
      <c r="B177" s="4" t="s">
        <v>6</v>
      </c>
      <c r="C177" s="4" t="s">
        <v>29</v>
      </c>
      <c r="D177" s="12">
        <v>6263</v>
      </c>
      <c r="E177" s="12">
        <v>5908</v>
      </c>
      <c r="F177" s="13">
        <v>41586</v>
      </c>
      <c r="G177" s="14">
        <v>1</v>
      </c>
      <c r="H177" s="13">
        <v>37955</v>
      </c>
      <c r="I177" s="15">
        <f t="shared" si="6"/>
        <v>0.94331789877055727</v>
      </c>
      <c r="J177" s="13">
        <f t="shared" si="7"/>
        <v>39228.818138272392</v>
      </c>
      <c r="K177" s="13">
        <f t="shared" si="8"/>
        <v>41586</v>
      </c>
    </row>
    <row r="178" spans="1:11" x14ac:dyDescent="0.25">
      <c r="A178" s="4" t="s">
        <v>218</v>
      </c>
      <c r="B178" s="4" t="s">
        <v>6</v>
      </c>
      <c r="C178" s="4" t="s">
        <v>29</v>
      </c>
      <c r="D178" s="12">
        <v>388</v>
      </c>
      <c r="E178" s="12">
        <v>296</v>
      </c>
      <c r="F178" s="13">
        <v>113261</v>
      </c>
      <c r="G178" s="14">
        <v>0.83</v>
      </c>
      <c r="H178" s="13">
        <v>93577</v>
      </c>
      <c r="I178" s="15">
        <f t="shared" si="6"/>
        <v>0.76288659793814428</v>
      </c>
      <c r="J178" s="13">
        <f t="shared" si="7"/>
        <v>86405.298969072159</v>
      </c>
      <c r="K178" s="13">
        <f t="shared" si="8"/>
        <v>94006.62999999999</v>
      </c>
    </row>
    <row r="179" spans="1:11" x14ac:dyDescent="0.25">
      <c r="A179" s="4" t="s">
        <v>219</v>
      </c>
      <c r="B179" s="4" t="s">
        <v>6</v>
      </c>
      <c r="C179" s="4" t="s">
        <v>32</v>
      </c>
      <c r="D179" s="12">
        <v>2383</v>
      </c>
      <c r="E179" s="12">
        <v>2268</v>
      </c>
      <c r="F179" s="13">
        <v>82881</v>
      </c>
      <c r="G179" s="14">
        <v>1</v>
      </c>
      <c r="H179" s="13">
        <v>75795</v>
      </c>
      <c r="I179" s="15">
        <f t="shared" si="6"/>
        <v>0.95174150230801513</v>
      </c>
      <c r="J179" s="13">
        <f t="shared" si="7"/>
        <v>78881.287452790595</v>
      </c>
      <c r="K179" s="13">
        <f t="shared" si="8"/>
        <v>82881</v>
      </c>
    </row>
    <row r="180" spans="1:11" x14ac:dyDescent="0.25">
      <c r="A180" s="4" t="s">
        <v>220</v>
      </c>
      <c r="B180" s="4" t="s">
        <v>6</v>
      </c>
      <c r="C180" s="4" t="s">
        <v>27</v>
      </c>
      <c r="D180" s="12">
        <v>1347</v>
      </c>
      <c r="E180" s="12">
        <v>1203</v>
      </c>
      <c r="F180" s="13">
        <v>31654</v>
      </c>
      <c r="G180" s="14">
        <v>1</v>
      </c>
      <c r="H180" s="13">
        <v>30486</v>
      </c>
      <c r="I180" s="15">
        <f t="shared" si="6"/>
        <v>0.89309576837416482</v>
      </c>
      <c r="J180" s="13">
        <f t="shared" si="7"/>
        <v>28270.053452115812</v>
      </c>
      <c r="K180" s="13">
        <f t="shared" si="8"/>
        <v>31654</v>
      </c>
    </row>
    <row r="181" spans="1:11" x14ac:dyDescent="0.25">
      <c r="A181" s="4" t="s">
        <v>221</v>
      </c>
      <c r="B181" s="4" t="s">
        <v>6</v>
      </c>
      <c r="C181" s="4" t="s">
        <v>45</v>
      </c>
      <c r="D181" s="12">
        <v>7627</v>
      </c>
      <c r="E181" s="12">
        <v>7126</v>
      </c>
      <c r="F181" s="13">
        <v>16474</v>
      </c>
      <c r="G181" s="14">
        <v>1</v>
      </c>
      <c r="H181" s="13">
        <v>17464</v>
      </c>
      <c r="I181" s="15">
        <f t="shared" si="6"/>
        <v>0.93431231152484595</v>
      </c>
      <c r="J181" s="13">
        <f t="shared" si="7"/>
        <v>15391.861020060313</v>
      </c>
      <c r="K181" s="13">
        <f t="shared" si="8"/>
        <v>16474</v>
      </c>
    </row>
    <row r="182" spans="1:11" x14ac:dyDescent="0.25">
      <c r="A182" s="4" t="s">
        <v>222</v>
      </c>
      <c r="B182" s="4" t="s">
        <v>6</v>
      </c>
      <c r="C182" s="4" t="s">
        <v>27</v>
      </c>
      <c r="D182" s="12">
        <v>2260</v>
      </c>
      <c r="E182" s="12">
        <v>1892</v>
      </c>
      <c r="F182" s="13">
        <v>96638</v>
      </c>
      <c r="G182" s="14">
        <v>0.9</v>
      </c>
      <c r="H182" s="13">
        <v>90099</v>
      </c>
      <c r="I182" s="15">
        <f t="shared" si="6"/>
        <v>0.8371681415929203</v>
      </c>
      <c r="J182" s="13">
        <f t="shared" si="7"/>
        <v>80902.254867256634</v>
      </c>
      <c r="K182" s="13">
        <f t="shared" si="8"/>
        <v>86974.2</v>
      </c>
    </row>
    <row r="183" spans="1:11" x14ac:dyDescent="0.25">
      <c r="A183" s="4" t="s">
        <v>223</v>
      </c>
      <c r="B183" s="4" t="s">
        <v>6</v>
      </c>
      <c r="C183" s="4" t="s">
        <v>45</v>
      </c>
      <c r="D183" s="12">
        <v>28541</v>
      </c>
      <c r="E183" s="12">
        <v>22631</v>
      </c>
      <c r="F183" s="13">
        <v>68498</v>
      </c>
      <c r="G183" s="14">
        <v>0.84</v>
      </c>
      <c r="H183" s="13">
        <v>57297</v>
      </c>
      <c r="I183" s="15">
        <f t="shared" si="6"/>
        <v>0.79292946988542801</v>
      </c>
      <c r="J183" s="13">
        <f t="shared" si="7"/>
        <v>54314.082828212049</v>
      </c>
      <c r="K183" s="13">
        <f t="shared" si="8"/>
        <v>57538.32</v>
      </c>
    </row>
    <row r="184" spans="1:11" x14ac:dyDescent="0.25">
      <c r="A184" s="4" t="s">
        <v>224</v>
      </c>
      <c r="B184" s="4" t="s">
        <v>6</v>
      </c>
      <c r="C184" s="4" t="s">
        <v>27</v>
      </c>
      <c r="D184" s="12">
        <v>407</v>
      </c>
      <c r="E184" s="12">
        <v>344</v>
      </c>
      <c r="F184" s="13">
        <v>8689</v>
      </c>
      <c r="G184" s="14">
        <v>1</v>
      </c>
      <c r="H184" s="13">
        <v>7759</v>
      </c>
      <c r="I184" s="15">
        <f t="shared" si="6"/>
        <v>0.84520884520884521</v>
      </c>
      <c r="J184" s="13">
        <f t="shared" si="7"/>
        <v>7344.0196560196564</v>
      </c>
      <c r="K184" s="13">
        <f t="shared" si="8"/>
        <v>8689</v>
      </c>
    </row>
    <row r="185" spans="1:11" x14ac:dyDescent="0.25">
      <c r="A185" s="4" t="s">
        <v>225</v>
      </c>
      <c r="B185" s="4" t="s">
        <v>6</v>
      </c>
      <c r="C185" s="4" t="s">
        <v>45</v>
      </c>
      <c r="D185" s="12">
        <v>13867</v>
      </c>
      <c r="E185" s="12">
        <v>13146</v>
      </c>
      <c r="F185" s="13">
        <v>42017</v>
      </c>
      <c r="G185" s="14">
        <v>1</v>
      </c>
      <c r="H185" s="13">
        <v>42797</v>
      </c>
      <c r="I185" s="15">
        <f t="shared" si="6"/>
        <v>0.94800605754669354</v>
      </c>
      <c r="J185" s="13">
        <f t="shared" si="7"/>
        <v>39832.370519939424</v>
      </c>
      <c r="K185" s="13">
        <f t="shared" si="8"/>
        <v>42017</v>
      </c>
    </row>
    <row r="186" spans="1:11" x14ac:dyDescent="0.25">
      <c r="A186" s="4" t="s">
        <v>226</v>
      </c>
      <c r="B186" s="4" t="s">
        <v>6</v>
      </c>
      <c r="C186" s="4" t="s">
        <v>29</v>
      </c>
      <c r="D186" s="12">
        <v>14122</v>
      </c>
      <c r="E186" s="12">
        <v>11656</v>
      </c>
      <c r="F186" s="13">
        <v>87698</v>
      </c>
      <c r="G186" s="14">
        <v>1</v>
      </c>
      <c r="H186" s="13">
        <v>75004</v>
      </c>
      <c r="I186" s="15">
        <f t="shared" si="6"/>
        <v>0.82537884152386343</v>
      </c>
      <c r="J186" s="13">
        <f t="shared" si="7"/>
        <v>72384.073643959768</v>
      </c>
      <c r="K186" s="13">
        <f t="shared" si="8"/>
        <v>87698</v>
      </c>
    </row>
    <row r="187" spans="1:11" x14ac:dyDescent="0.25">
      <c r="A187" s="4" t="s">
        <v>227</v>
      </c>
      <c r="B187" s="4" t="s">
        <v>6</v>
      </c>
      <c r="C187" s="4" t="s">
        <v>29</v>
      </c>
      <c r="D187" s="12">
        <v>4718</v>
      </c>
      <c r="E187" s="12">
        <v>3590</v>
      </c>
      <c r="F187" s="13">
        <v>38310</v>
      </c>
      <c r="G187" s="14">
        <v>0.95</v>
      </c>
      <c r="H187" s="13">
        <v>30123</v>
      </c>
      <c r="I187" s="15">
        <f t="shared" si="6"/>
        <v>0.76091564222128016</v>
      </c>
      <c r="J187" s="13">
        <f t="shared" si="7"/>
        <v>29150.678253497244</v>
      </c>
      <c r="K187" s="13">
        <f t="shared" si="8"/>
        <v>36394.5</v>
      </c>
    </row>
    <row r="188" spans="1:11" x14ac:dyDescent="0.25">
      <c r="A188" s="4" t="s">
        <v>228</v>
      </c>
      <c r="B188" s="4" t="s">
        <v>6</v>
      </c>
      <c r="C188" s="4" t="s">
        <v>29</v>
      </c>
      <c r="D188" s="12">
        <v>4454</v>
      </c>
      <c r="E188" s="12">
        <v>3691</v>
      </c>
      <c r="F188" s="13">
        <v>47970</v>
      </c>
      <c r="G188" s="14">
        <v>0.97</v>
      </c>
      <c r="H188" s="13">
        <v>44180</v>
      </c>
      <c r="I188" s="15">
        <f t="shared" si="6"/>
        <v>0.82869330938482266</v>
      </c>
      <c r="J188" s="13">
        <f t="shared" si="7"/>
        <v>39752.418051189947</v>
      </c>
      <c r="K188" s="13">
        <f t="shared" si="8"/>
        <v>46530.9</v>
      </c>
    </row>
    <row r="189" spans="1:11" x14ac:dyDescent="0.25">
      <c r="A189" s="4" t="s">
        <v>229</v>
      </c>
      <c r="B189" s="4" t="s">
        <v>6</v>
      </c>
      <c r="C189" s="4" t="s">
        <v>29</v>
      </c>
      <c r="D189" s="12">
        <v>6597</v>
      </c>
      <c r="E189" s="12">
        <v>5997</v>
      </c>
      <c r="F189" s="13">
        <v>35558</v>
      </c>
      <c r="G189" s="14">
        <v>0.96</v>
      </c>
      <c r="H189" s="13">
        <v>32985</v>
      </c>
      <c r="I189" s="15">
        <f t="shared" si="6"/>
        <v>0.90904956798544789</v>
      </c>
      <c r="J189" s="13">
        <f t="shared" si="7"/>
        <v>32323.984538426557</v>
      </c>
      <c r="K189" s="13">
        <f t="shared" si="8"/>
        <v>34135.68</v>
      </c>
    </row>
    <row r="190" spans="1:11" x14ac:dyDescent="0.25">
      <c r="A190" s="4" t="s">
        <v>230</v>
      </c>
      <c r="B190" s="4" t="s">
        <v>6</v>
      </c>
      <c r="C190" s="4" t="s">
        <v>45</v>
      </c>
      <c r="D190" s="12">
        <v>49612</v>
      </c>
      <c r="E190" s="12">
        <v>46044</v>
      </c>
      <c r="F190" s="13">
        <v>95751</v>
      </c>
      <c r="G190" s="14">
        <v>1</v>
      </c>
      <c r="H190" s="13">
        <v>91747</v>
      </c>
      <c r="I190" s="15">
        <f t="shared" si="6"/>
        <v>0.92808191566556475</v>
      </c>
      <c r="J190" s="13">
        <f t="shared" si="7"/>
        <v>88864.771506893492</v>
      </c>
      <c r="K190" s="13">
        <f t="shared" si="8"/>
        <v>95751</v>
      </c>
    </row>
    <row r="191" spans="1:11" x14ac:dyDescent="0.25">
      <c r="A191" s="4" t="s">
        <v>231</v>
      </c>
      <c r="B191" s="4" t="s">
        <v>6</v>
      </c>
      <c r="C191" s="4" t="s">
        <v>45</v>
      </c>
      <c r="D191" s="12">
        <v>36589</v>
      </c>
      <c r="E191" s="12">
        <v>35593</v>
      </c>
      <c r="F191" s="13">
        <v>59274</v>
      </c>
      <c r="G191" s="14">
        <v>1</v>
      </c>
      <c r="H191" s="13">
        <v>60514</v>
      </c>
      <c r="I191" s="15">
        <f t="shared" si="6"/>
        <v>0.97277870398207111</v>
      </c>
      <c r="J191" s="13">
        <f t="shared" si="7"/>
        <v>57660.484899833282</v>
      </c>
      <c r="K191" s="13">
        <f t="shared" si="8"/>
        <v>59274</v>
      </c>
    </row>
    <row r="192" spans="1:11" x14ac:dyDescent="0.25">
      <c r="A192" s="4" t="s">
        <v>232</v>
      </c>
      <c r="B192" s="4" t="s">
        <v>6</v>
      </c>
      <c r="C192" s="4" t="s">
        <v>27</v>
      </c>
      <c r="D192" s="12">
        <v>2152</v>
      </c>
      <c r="E192" s="12">
        <v>2075</v>
      </c>
      <c r="F192" s="13">
        <v>60859</v>
      </c>
      <c r="G192" s="14">
        <v>1</v>
      </c>
      <c r="H192" s="13">
        <v>60666</v>
      </c>
      <c r="I192" s="15">
        <f t="shared" si="6"/>
        <v>0.96421933085501854</v>
      </c>
      <c r="J192" s="13">
        <f t="shared" si="7"/>
        <v>58681.424256505576</v>
      </c>
      <c r="K192" s="13">
        <f t="shared" si="8"/>
        <v>60859</v>
      </c>
    </row>
    <row r="193" spans="1:11" x14ac:dyDescent="0.25">
      <c r="A193" s="4" t="s">
        <v>233</v>
      </c>
      <c r="B193" s="4" t="s">
        <v>6</v>
      </c>
      <c r="C193" s="4" t="s">
        <v>45</v>
      </c>
      <c r="D193" s="12">
        <v>42316</v>
      </c>
      <c r="E193" s="12">
        <v>38240</v>
      </c>
      <c r="F193" s="13">
        <v>109598</v>
      </c>
      <c r="G193" s="14">
        <v>0.98</v>
      </c>
      <c r="H193" s="13">
        <v>94672</v>
      </c>
      <c r="I193" s="15">
        <f t="shared" si="6"/>
        <v>0.90367709613385006</v>
      </c>
      <c r="J193" s="13">
        <f t="shared" si="7"/>
        <v>99041.202382077696</v>
      </c>
      <c r="K193" s="13">
        <f t="shared" si="8"/>
        <v>107406.04</v>
      </c>
    </row>
    <row r="194" spans="1:11" x14ac:dyDescent="0.25">
      <c r="A194" s="4" t="s">
        <v>234</v>
      </c>
      <c r="B194" s="4" t="s">
        <v>6</v>
      </c>
      <c r="C194" s="4" t="s">
        <v>29</v>
      </c>
      <c r="D194" s="12">
        <v>1905</v>
      </c>
      <c r="E194" s="12">
        <v>1654</v>
      </c>
      <c r="F194" s="13">
        <v>20593</v>
      </c>
      <c r="G194" s="14">
        <v>1</v>
      </c>
      <c r="H194" s="13">
        <v>17130</v>
      </c>
      <c r="I194" s="15">
        <f t="shared" si="6"/>
        <v>0.86824146981627293</v>
      </c>
      <c r="J194" s="13">
        <f t="shared" si="7"/>
        <v>17879.696587926508</v>
      </c>
      <c r="K194" s="13">
        <f t="shared" si="8"/>
        <v>20593</v>
      </c>
    </row>
    <row r="195" spans="1:11" x14ac:dyDescent="0.25">
      <c r="A195" s="4" t="s">
        <v>235</v>
      </c>
      <c r="B195" s="4" t="s">
        <v>6</v>
      </c>
      <c r="C195" s="4" t="s">
        <v>27</v>
      </c>
      <c r="D195" s="12">
        <v>3118</v>
      </c>
      <c r="E195" s="12">
        <v>2371</v>
      </c>
      <c r="F195" s="13">
        <v>159521</v>
      </c>
      <c r="G195" s="14">
        <v>0.95</v>
      </c>
      <c r="H195" s="13">
        <v>126800</v>
      </c>
      <c r="I195" s="15">
        <f t="shared" si="6"/>
        <v>0.76042334830019243</v>
      </c>
      <c r="J195" s="13">
        <f t="shared" si="7"/>
        <v>121303.49294419499</v>
      </c>
      <c r="K195" s="13">
        <f t="shared" si="8"/>
        <v>151544.94999999998</v>
      </c>
    </row>
    <row r="196" spans="1:11" x14ac:dyDescent="0.25">
      <c r="A196" s="4" t="s">
        <v>236</v>
      </c>
      <c r="B196" s="4" t="s">
        <v>7</v>
      </c>
      <c r="C196" s="4" t="s">
        <v>237</v>
      </c>
      <c r="D196" s="12">
        <v>2</v>
      </c>
      <c r="E196" s="12">
        <v>2</v>
      </c>
      <c r="F196" s="13">
        <v>178309</v>
      </c>
      <c r="G196" s="14">
        <v>1</v>
      </c>
      <c r="H196" s="13">
        <v>200138</v>
      </c>
      <c r="I196" s="15">
        <f t="shared" si="6"/>
        <v>1</v>
      </c>
      <c r="J196" s="13">
        <f t="shared" si="7"/>
        <v>178309</v>
      </c>
      <c r="K196" s="13">
        <f t="shared" si="8"/>
        <v>178309</v>
      </c>
    </row>
    <row r="197" spans="1:11" x14ac:dyDescent="0.25">
      <c r="A197" s="4" t="s">
        <v>238</v>
      </c>
      <c r="B197" s="4" t="s">
        <v>7</v>
      </c>
      <c r="C197" s="4" t="s">
        <v>237</v>
      </c>
      <c r="D197" s="12">
        <v>112</v>
      </c>
      <c r="E197" s="12">
        <v>61</v>
      </c>
      <c r="F197" s="13">
        <v>145142</v>
      </c>
      <c r="G197" s="14">
        <v>0.68</v>
      </c>
      <c r="H197" s="13">
        <v>86456</v>
      </c>
      <c r="I197" s="15">
        <f t="shared" ref="I197:I260" si="9">IF(D197&gt;0,MIN(E197/D197,1),0)</f>
        <v>0.5446428571428571</v>
      </c>
      <c r="J197" s="13">
        <f t="shared" ref="J197:J260" si="10">F197*I197</f>
        <v>79050.553571428565</v>
      </c>
      <c r="K197" s="13">
        <f t="shared" ref="K197:K260" si="11">F197*G197</f>
        <v>98696.560000000012</v>
      </c>
    </row>
    <row r="198" spans="1:11" x14ac:dyDescent="0.25">
      <c r="A198" s="4" t="s">
        <v>239</v>
      </c>
      <c r="B198" s="4" t="s">
        <v>7</v>
      </c>
      <c r="C198" s="4" t="s">
        <v>240</v>
      </c>
      <c r="D198" s="12">
        <v>2703</v>
      </c>
      <c r="E198" s="12">
        <v>1384</v>
      </c>
      <c r="F198" s="13">
        <v>190994</v>
      </c>
      <c r="G198" s="14">
        <v>0.57999999999999996</v>
      </c>
      <c r="H198" s="13">
        <v>105393</v>
      </c>
      <c r="I198" s="15">
        <f t="shared" si="9"/>
        <v>0.51202367739548649</v>
      </c>
      <c r="J198" s="13">
        <f t="shared" si="10"/>
        <v>97793.450240473539</v>
      </c>
      <c r="K198" s="13">
        <f t="shared" si="11"/>
        <v>110776.51999999999</v>
      </c>
    </row>
    <row r="199" spans="1:11" x14ac:dyDescent="0.25">
      <c r="A199" s="4" t="s">
        <v>241</v>
      </c>
      <c r="B199" s="4" t="s">
        <v>7</v>
      </c>
      <c r="C199" s="4" t="s">
        <v>240</v>
      </c>
      <c r="D199" s="12">
        <v>1727</v>
      </c>
      <c r="E199" s="12">
        <v>1376</v>
      </c>
      <c r="F199" s="13">
        <v>76765</v>
      </c>
      <c r="G199" s="14">
        <v>0.95</v>
      </c>
      <c r="H199" s="13">
        <v>63718</v>
      </c>
      <c r="I199" s="15">
        <f t="shared" si="9"/>
        <v>0.79675738274464392</v>
      </c>
      <c r="J199" s="13">
        <f t="shared" si="10"/>
        <v>61163.080486392588</v>
      </c>
      <c r="K199" s="13">
        <f t="shared" si="11"/>
        <v>72926.75</v>
      </c>
    </row>
    <row r="200" spans="1:11" x14ac:dyDescent="0.25">
      <c r="A200" s="4" t="s">
        <v>242</v>
      </c>
      <c r="B200" s="4" t="s">
        <v>7</v>
      </c>
      <c r="C200" s="4" t="s">
        <v>27</v>
      </c>
      <c r="D200" s="12">
        <v>1326</v>
      </c>
      <c r="E200" s="12">
        <v>714</v>
      </c>
      <c r="F200" s="13">
        <v>14984</v>
      </c>
      <c r="G200" s="14">
        <v>0.59</v>
      </c>
      <c r="H200" s="13">
        <v>8741</v>
      </c>
      <c r="I200" s="15">
        <f t="shared" si="9"/>
        <v>0.53846153846153844</v>
      </c>
      <c r="J200" s="13">
        <f t="shared" si="10"/>
        <v>8068.3076923076924</v>
      </c>
      <c r="K200" s="13">
        <f t="shared" si="11"/>
        <v>8840.56</v>
      </c>
    </row>
    <row r="201" spans="1:11" x14ac:dyDescent="0.25">
      <c r="A201" s="4" t="s">
        <v>243</v>
      </c>
      <c r="B201" s="4" t="s">
        <v>7</v>
      </c>
      <c r="C201" s="4" t="s">
        <v>32</v>
      </c>
      <c r="D201" s="12">
        <v>1662</v>
      </c>
      <c r="E201" s="12">
        <v>813</v>
      </c>
      <c r="F201" s="13">
        <v>7113</v>
      </c>
      <c r="G201" s="14">
        <v>0.63</v>
      </c>
      <c r="H201" s="13">
        <v>3698</v>
      </c>
      <c r="I201" s="15">
        <f t="shared" si="9"/>
        <v>0.48916967509025272</v>
      </c>
      <c r="J201" s="13">
        <f t="shared" si="10"/>
        <v>3479.4638989169675</v>
      </c>
      <c r="K201" s="13">
        <f t="shared" si="11"/>
        <v>4481.1899999999996</v>
      </c>
    </row>
    <row r="202" spans="1:11" x14ac:dyDescent="0.25">
      <c r="A202" s="4" t="s">
        <v>244</v>
      </c>
      <c r="B202" s="4" t="s">
        <v>7</v>
      </c>
      <c r="C202" s="4" t="s">
        <v>32</v>
      </c>
      <c r="D202" s="12">
        <v>3098</v>
      </c>
      <c r="E202" s="12">
        <v>2085</v>
      </c>
      <c r="F202" s="13">
        <v>11122</v>
      </c>
      <c r="G202" s="14">
        <v>0.76</v>
      </c>
      <c r="H202" s="13">
        <v>8407</v>
      </c>
      <c r="I202" s="15">
        <f t="shared" si="9"/>
        <v>0.67301484828921887</v>
      </c>
      <c r="J202" s="13">
        <f t="shared" si="10"/>
        <v>7485.2711426726919</v>
      </c>
      <c r="K202" s="13">
        <f t="shared" si="11"/>
        <v>8452.7199999999993</v>
      </c>
    </row>
    <row r="203" spans="1:11" x14ac:dyDescent="0.25">
      <c r="A203" s="4" t="s">
        <v>245</v>
      </c>
      <c r="B203" s="4" t="s">
        <v>7</v>
      </c>
      <c r="C203" s="4" t="s">
        <v>27</v>
      </c>
      <c r="D203" s="12">
        <v>566</v>
      </c>
      <c r="E203" s="12">
        <v>307</v>
      </c>
      <c r="F203" s="13">
        <v>4047</v>
      </c>
      <c r="G203" s="14">
        <v>0.68</v>
      </c>
      <c r="H203" s="13">
        <v>2259</v>
      </c>
      <c r="I203" s="15">
        <f t="shared" si="9"/>
        <v>0.54240282685512364</v>
      </c>
      <c r="J203" s="13">
        <f t="shared" si="10"/>
        <v>2195.1042402826852</v>
      </c>
      <c r="K203" s="13">
        <f t="shared" si="11"/>
        <v>2751.96</v>
      </c>
    </row>
    <row r="204" spans="1:11" x14ac:dyDescent="0.25">
      <c r="A204" s="4" t="s">
        <v>246</v>
      </c>
      <c r="B204" s="4" t="s">
        <v>7</v>
      </c>
      <c r="C204" s="4" t="s">
        <v>27</v>
      </c>
      <c r="D204" s="12">
        <v>1152</v>
      </c>
      <c r="E204" s="12">
        <v>885</v>
      </c>
      <c r="F204" s="13">
        <v>9458</v>
      </c>
      <c r="G204" s="14">
        <v>0.94</v>
      </c>
      <c r="H204" s="13">
        <v>7513</v>
      </c>
      <c r="I204" s="15">
        <f t="shared" si="9"/>
        <v>0.76822916666666663</v>
      </c>
      <c r="J204" s="13">
        <f t="shared" si="10"/>
        <v>7265.911458333333</v>
      </c>
      <c r="K204" s="13">
        <f t="shared" si="11"/>
        <v>8890.5199999999986</v>
      </c>
    </row>
    <row r="205" spans="1:11" x14ac:dyDescent="0.25">
      <c r="A205" s="4" t="s">
        <v>247</v>
      </c>
      <c r="B205" s="4" t="s">
        <v>7</v>
      </c>
      <c r="C205" s="4" t="s">
        <v>27</v>
      </c>
      <c r="D205" s="12">
        <v>567</v>
      </c>
      <c r="E205" s="12">
        <v>404</v>
      </c>
      <c r="F205" s="13">
        <v>6294</v>
      </c>
      <c r="G205" s="14">
        <v>0.78</v>
      </c>
      <c r="H205" s="13">
        <v>4881</v>
      </c>
      <c r="I205" s="15">
        <f t="shared" si="9"/>
        <v>0.71252204585537915</v>
      </c>
      <c r="J205" s="13">
        <f t="shared" si="10"/>
        <v>4484.6137566137568</v>
      </c>
      <c r="K205" s="13">
        <f t="shared" si="11"/>
        <v>4909.3200000000006</v>
      </c>
    </row>
    <row r="206" spans="1:11" x14ac:dyDescent="0.25">
      <c r="A206" s="4" t="s">
        <v>248</v>
      </c>
      <c r="B206" s="4" t="s">
        <v>7</v>
      </c>
      <c r="C206" s="4" t="s">
        <v>237</v>
      </c>
      <c r="D206" s="12">
        <v>1</v>
      </c>
      <c r="E206" s="12">
        <v>0</v>
      </c>
      <c r="F206" s="13">
        <v>93688</v>
      </c>
      <c r="G206" s="14">
        <v>0.16</v>
      </c>
      <c r="H206" s="13">
        <v>0</v>
      </c>
      <c r="I206" s="15">
        <f t="shared" si="9"/>
        <v>0</v>
      </c>
      <c r="J206" s="13">
        <f t="shared" si="10"/>
        <v>0</v>
      </c>
      <c r="K206" s="13">
        <f t="shared" si="11"/>
        <v>14990.08</v>
      </c>
    </row>
    <row r="207" spans="1:11" x14ac:dyDescent="0.25">
      <c r="A207" s="4" t="s">
        <v>249</v>
      </c>
      <c r="B207" s="4" t="s">
        <v>7</v>
      </c>
      <c r="C207" s="4" t="s">
        <v>32</v>
      </c>
      <c r="D207" s="12">
        <v>775</v>
      </c>
      <c r="E207" s="12">
        <v>814</v>
      </c>
      <c r="F207" s="13">
        <v>21204</v>
      </c>
      <c r="G207" s="14">
        <v>0.79</v>
      </c>
      <c r="H207" s="13">
        <v>12674</v>
      </c>
      <c r="I207" s="15">
        <f t="shared" si="9"/>
        <v>1</v>
      </c>
      <c r="J207" s="13">
        <f t="shared" si="10"/>
        <v>21204</v>
      </c>
      <c r="K207" s="13">
        <f t="shared" si="11"/>
        <v>16751.16</v>
      </c>
    </row>
    <row r="208" spans="1:11" x14ac:dyDescent="0.25">
      <c r="A208" s="4" t="s">
        <v>250</v>
      </c>
      <c r="B208" s="4" t="s">
        <v>7</v>
      </c>
      <c r="C208" s="4" t="s">
        <v>240</v>
      </c>
      <c r="D208" s="12">
        <v>566</v>
      </c>
      <c r="E208" s="12">
        <v>269</v>
      </c>
      <c r="F208" s="13">
        <v>35777</v>
      </c>
      <c r="G208" s="14">
        <v>0.64</v>
      </c>
      <c r="H208" s="13">
        <v>16238</v>
      </c>
      <c r="I208" s="15">
        <f t="shared" si="9"/>
        <v>0.47526501766784451</v>
      </c>
      <c r="J208" s="13">
        <f t="shared" si="10"/>
        <v>17003.556537102475</v>
      </c>
      <c r="K208" s="13">
        <f t="shared" si="11"/>
        <v>22897.279999999999</v>
      </c>
    </row>
    <row r="209" spans="1:11" x14ac:dyDescent="0.25">
      <c r="A209" s="4" t="s">
        <v>251</v>
      </c>
      <c r="B209" s="4" t="s">
        <v>7</v>
      </c>
      <c r="C209" s="4" t="s">
        <v>32</v>
      </c>
      <c r="D209" s="12">
        <v>2495</v>
      </c>
      <c r="E209" s="12">
        <v>1499</v>
      </c>
      <c r="F209" s="13">
        <v>42914</v>
      </c>
      <c r="G209" s="14">
        <v>0.78</v>
      </c>
      <c r="H209" s="13">
        <v>27205</v>
      </c>
      <c r="I209" s="15">
        <f t="shared" si="9"/>
        <v>0.60080160320641285</v>
      </c>
      <c r="J209" s="13">
        <f t="shared" si="10"/>
        <v>25782.799999999999</v>
      </c>
      <c r="K209" s="13">
        <f t="shared" si="11"/>
        <v>33472.92</v>
      </c>
    </row>
    <row r="210" spans="1:11" x14ac:dyDescent="0.25">
      <c r="A210" s="4" t="s">
        <v>252</v>
      </c>
      <c r="B210" s="4" t="s">
        <v>7</v>
      </c>
      <c r="C210" s="4" t="s">
        <v>32</v>
      </c>
      <c r="D210" s="12">
        <v>3073</v>
      </c>
      <c r="E210" s="12">
        <v>2578</v>
      </c>
      <c r="F210" s="13">
        <v>16809</v>
      </c>
      <c r="G210" s="14">
        <v>0.96</v>
      </c>
      <c r="H210" s="13">
        <v>15830</v>
      </c>
      <c r="I210" s="15">
        <f t="shared" si="9"/>
        <v>0.83891962251871133</v>
      </c>
      <c r="J210" s="13">
        <f t="shared" si="10"/>
        <v>14101.399934917019</v>
      </c>
      <c r="K210" s="13">
        <f t="shared" si="11"/>
        <v>16136.64</v>
      </c>
    </row>
    <row r="211" spans="1:11" x14ac:dyDescent="0.25">
      <c r="A211" s="4" t="s">
        <v>253</v>
      </c>
      <c r="B211" s="4" t="s">
        <v>7</v>
      </c>
      <c r="C211" s="4" t="s">
        <v>240</v>
      </c>
      <c r="D211" s="12">
        <v>671</v>
      </c>
      <c r="E211" s="12">
        <v>307</v>
      </c>
      <c r="F211" s="13">
        <v>51144</v>
      </c>
      <c r="G211" s="14">
        <v>0.64</v>
      </c>
      <c r="H211" s="13">
        <v>24432</v>
      </c>
      <c r="I211" s="15">
        <f t="shared" si="9"/>
        <v>0.45752608047690013</v>
      </c>
      <c r="J211" s="13">
        <f t="shared" si="10"/>
        <v>23399.713859910582</v>
      </c>
      <c r="K211" s="13">
        <f t="shared" si="11"/>
        <v>32732.16</v>
      </c>
    </row>
    <row r="212" spans="1:11" x14ac:dyDescent="0.25">
      <c r="A212" s="4" t="s">
        <v>254</v>
      </c>
      <c r="B212" s="4" t="s">
        <v>7</v>
      </c>
      <c r="C212" s="4" t="s">
        <v>237</v>
      </c>
      <c r="D212" s="12">
        <v>1</v>
      </c>
      <c r="E212" s="12">
        <v>1</v>
      </c>
      <c r="F212" s="13">
        <v>93917</v>
      </c>
      <c r="G212" s="14">
        <v>1</v>
      </c>
      <c r="H212" s="13">
        <v>105516</v>
      </c>
      <c r="I212" s="15">
        <f t="shared" si="9"/>
        <v>1</v>
      </c>
      <c r="J212" s="13">
        <f t="shared" si="10"/>
        <v>93917</v>
      </c>
      <c r="K212" s="13">
        <f t="shared" si="11"/>
        <v>93917</v>
      </c>
    </row>
    <row r="213" spans="1:11" x14ac:dyDescent="0.25">
      <c r="A213" s="4" t="s">
        <v>255</v>
      </c>
      <c r="B213" s="4" t="s">
        <v>7</v>
      </c>
      <c r="C213" s="4" t="s">
        <v>45</v>
      </c>
      <c r="D213" s="12">
        <v>9410</v>
      </c>
      <c r="E213" s="12">
        <v>7927</v>
      </c>
      <c r="F213" s="13">
        <v>12421</v>
      </c>
      <c r="G213" s="14">
        <v>0.93</v>
      </c>
      <c r="H213" s="13">
        <v>10744</v>
      </c>
      <c r="I213" s="15">
        <f t="shared" si="9"/>
        <v>0.84240170031880979</v>
      </c>
      <c r="J213" s="13">
        <f t="shared" si="10"/>
        <v>10463.471519659937</v>
      </c>
      <c r="K213" s="13">
        <f t="shared" si="11"/>
        <v>11551.53</v>
      </c>
    </row>
    <row r="214" spans="1:11" x14ac:dyDescent="0.25">
      <c r="A214" s="4" t="s">
        <v>256</v>
      </c>
      <c r="B214" s="4" t="s">
        <v>7</v>
      </c>
      <c r="C214" s="4" t="s">
        <v>237</v>
      </c>
      <c r="D214" s="12">
        <v>28</v>
      </c>
      <c r="E214" s="12">
        <v>15</v>
      </c>
      <c r="F214" s="13">
        <v>36843</v>
      </c>
      <c r="G214" s="14">
        <v>0.71</v>
      </c>
      <c r="H214" s="13">
        <v>20308</v>
      </c>
      <c r="I214" s="15">
        <f t="shared" si="9"/>
        <v>0.5357142857142857</v>
      </c>
      <c r="J214" s="13">
        <f t="shared" si="10"/>
        <v>19737.321428571428</v>
      </c>
      <c r="K214" s="13">
        <f t="shared" si="11"/>
        <v>26158.53</v>
      </c>
    </row>
    <row r="215" spans="1:11" x14ac:dyDescent="0.25">
      <c r="A215" s="4" t="s">
        <v>257</v>
      </c>
      <c r="B215" s="4" t="s">
        <v>7</v>
      </c>
      <c r="C215" s="4" t="s">
        <v>45</v>
      </c>
      <c r="D215" s="12">
        <v>9202</v>
      </c>
      <c r="E215" s="12">
        <v>5661</v>
      </c>
      <c r="F215" s="13">
        <v>10122</v>
      </c>
      <c r="G215" s="14">
        <v>0.68</v>
      </c>
      <c r="H215" s="13">
        <v>6646</v>
      </c>
      <c r="I215" s="15">
        <f t="shared" si="9"/>
        <v>0.61519234948924151</v>
      </c>
      <c r="J215" s="13">
        <f t="shared" si="10"/>
        <v>6226.9769615301029</v>
      </c>
      <c r="K215" s="13">
        <f t="shared" si="11"/>
        <v>6882.9600000000009</v>
      </c>
    </row>
    <row r="216" spans="1:11" x14ac:dyDescent="0.25">
      <c r="A216" s="4" t="s">
        <v>258</v>
      </c>
      <c r="B216" s="4" t="s">
        <v>7</v>
      </c>
      <c r="C216" s="4" t="s">
        <v>45</v>
      </c>
      <c r="D216" s="12">
        <v>18955</v>
      </c>
      <c r="E216" s="12">
        <v>11696</v>
      </c>
      <c r="F216" s="13">
        <v>18765</v>
      </c>
      <c r="G216" s="14">
        <v>0.75</v>
      </c>
      <c r="H216" s="13">
        <v>12890</v>
      </c>
      <c r="I216" s="15">
        <f t="shared" si="9"/>
        <v>0.61704035874439467</v>
      </c>
      <c r="J216" s="13">
        <f t="shared" si="10"/>
        <v>11578.762331838567</v>
      </c>
      <c r="K216" s="13">
        <f t="shared" si="11"/>
        <v>14073.75</v>
      </c>
    </row>
    <row r="217" spans="1:11" x14ac:dyDescent="0.25">
      <c r="A217" s="4" t="s">
        <v>259</v>
      </c>
      <c r="B217" s="4" t="s">
        <v>7</v>
      </c>
      <c r="C217" s="4" t="s">
        <v>27</v>
      </c>
      <c r="D217" s="12">
        <v>626</v>
      </c>
      <c r="E217" s="12">
        <v>283</v>
      </c>
      <c r="F217" s="13">
        <v>6266</v>
      </c>
      <c r="G217" s="14">
        <v>0.57999999999999996</v>
      </c>
      <c r="H217" s="13">
        <v>2933</v>
      </c>
      <c r="I217" s="15">
        <f t="shared" si="9"/>
        <v>0.45207667731629392</v>
      </c>
      <c r="J217" s="13">
        <f t="shared" si="10"/>
        <v>2832.7124600638977</v>
      </c>
      <c r="K217" s="13">
        <f t="shared" si="11"/>
        <v>3634.2799999999997</v>
      </c>
    </row>
    <row r="218" spans="1:11" x14ac:dyDescent="0.25">
      <c r="A218" s="4" t="s">
        <v>260</v>
      </c>
      <c r="B218" s="4" t="s">
        <v>7</v>
      </c>
      <c r="C218" s="4" t="s">
        <v>237</v>
      </c>
      <c r="D218" s="12">
        <v>60</v>
      </c>
      <c r="E218" s="12">
        <v>39</v>
      </c>
      <c r="F218" s="13">
        <v>47285</v>
      </c>
      <c r="G218" s="14">
        <v>0.77</v>
      </c>
      <c r="H218" s="13">
        <v>31872</v>
      </c>
      <c r="I218" s="15">
        <f t="shared" si="9"/>
        <v>0.65</v>
      </c>
      <c r="J218" s="13">
        <f t="shared" si="10"/>
        <v>30735.25</v>
      </c>
      <c r="K218" s="13">
        <f t="shared" si="11"/>
        <v>36409.450000000004</v>
      </c>
    </row>
    <row r="219" spans="1:11" x14ac:dyDescent="0.25">
      <c r="A219" s="4" t="s">
        <v>261</v>
      </c>
      <c r="B219" s="4" t="s">
        <v>7</v>
      </c>
      <c r="C219" s="4" t="s">
        <v>237</v>
      </c>
      <c r="D219" s="12">
        <v>2</v>
      </c>
      <c r="E219" s="12">
        <v>1</v>
      </c>
      <c r="F219" s="13">
        <v>146483</v>
      </c>
      <c r="G219" s="14">
        <v>0.65</v>
      </c>
      <c r="H219" s="13">
        <v>69733</v>
      </c>
      <c r="I219" s="15">
        <f t="shared" si="9"/>
        <v>0.5</v>
      </c>
      <c r="J219" s="13">
        <f t="shared" si="10"/>
        <v>73241.5</v>
      </c>
      <c r="K219" s="13">
        <f t="shared" si="11"/>
        <v>95213.95</v>
      </c>
    </row>
    <row r="220" spans="1:11" x14ac:dyDescent="0.25">
      <c r="A220" s="4" t="s">
        <v>262</v>
      </c>
      <c r="B220" s="4" t="s">
        <v>7</v>
      </c>
      <c r="C220" s="4" t="s">
        <v>32</v>
      </c>
      <c r="D220" s="12">
        <v>1943</v>
      </c>
      <c r="E220" s="12">
        <v>1588</v>
      </c>
      <c r="F220" s="13">
        <v>35848</v>
      </c>
      <c r="G220" s="14">
        <v>1</v>
      </c>
      <c r="H220" s="13">
        <v>28687</v>
      </c>
      <c r="I220" s="15">
        <f t="shared" si="9"/>
        <v>0.81729284611425634</v>
      </c>
      <c r="J220" s="13">
        <f t="shared" si="10"/>
        <v>29298.313947503862</v>
      </c>
      <c r="K220" s="13">
        <f t="shared" si="11"/>
        <v>35848</v>
      </c>
    </row>
    <row r="221" spans="1:11" x14ac:dyDescent="0.25">
      <c r="A221" s="4" t="s">
        <v>263</v>
      </c>
      <c r="B221" s="4" t="s">
        <v>7</v>
      </c>
      <c r="C221" s="4" t="s">
        <v>237</v>
      </c>
      <c r="D221" s="12">
        <v>1</v>
      </c>
      <c r="E221" s="12">
        <v>1</v>
      </c>
      <c r="F221" s="13">
        <v>130426</v>
      </c>
      <c r="G221" s="14">
        <v>1</v>
      </c>
      <c r="H221" s="13">
        <v>144323</v>
      </c>
      <c r="I221" s="15">
        <f t="shared" si="9"/>
        <v>1</v>
      </c>
      <c r="J221" s="13">
        <f t="shared" si="10"/>
        <v>130426</v>
      </c>
      <c r="K221" s="13">
        <f t="shared" si="11"/>
        <v>130426</v>
      </c>
    </row>
    <row r="222" spans="1:11" x14ac:dyDescent="0.25">
      <c r="A222" s="4" t="s">
        <v>264</v>
      </c>
      <c r="B222" s="4" t="s">
        <v>7</v>
      </c>
      <c r="C222" s="4" t="s">
        <v>27</v>
      </c>
      <c r="D222" s="12">
        <v>1337</v>
      </c>
      <c r="E222" s="12">
        <v>1030</v>
      </c>
      <c r="F222" s="13">
        <v>12902</v>
      </c>
      <c r="G222" s="14">
        <v>0.87</v>
      </c>
      <c r="H222" s="13">
        <v>9695</v>
      </c>
      <c r="I222" s="15">
        <f t="shared" si="9"/>
        <v>0.77038145100972322</v>
      </c>
      <c r="J222" s="13">
        <f t="shared" si="10"/>
        <v>9939.4614809274481</v>
      </c>
      <c r="K222" s="13">
        <f t="shared" si="11"/>
        <v>11224.74</v>
      </c>
    </row>
    <row r="223" spans="1:11" x14ac:dyDescent="0.25">
      <c r="A223" s="4" t="s">
        <v>265</v>
      </c>
      <c r="B223" s="4" t="s">
        <v>7</v>
      </c>
      <c r="C223" s="4" t="s">
        <v>237</v>
      </c>
      <c r="D223" s="12">
        <v>2</v>
      </c>
      <c r="E223" s="12">
        <v>2</v>
      </c>
      <c r="F223" s="13">
        <v>312450</v>
      </c>
      <c r="G223" s="14">
        <v>1</v>
      </c>
      <c r="H223" s="13">
        <v>314469</v>
      </c>
      <c r="I223" s="15">
        <f t="shared" si="9"/>
        <v>1</v>
      </c>
      <c r="J223" s="13">
        <f t="shared" si="10"/>
        <v>312450</v>
      </c>
      <c r="K223" s="13">
        <f t="shared" si="11"/>
        <v>312450</v>
      </c>
    </row>
    <row r="224" spans="1:11" x14ac:dyDescent="0.25">
      <c r="A224" s="4" t="s">
        <v>266</v>
      </c>
      <c r="B224" s="4" t="s">
        <v>7</v>
      </c>
      <c r="C224" s="4" t="s">
        <v>32</v>
      </c>
      <c r="D224" s="12">
        <v>1921</v>
      </c>
      <c r="E224" s="12">
        <v>917</v>
      </c>
      <c r="F224" s="13">
        <v>6262</v>
      </c>
      <c r="G224" s="14">
        <v>0.66</v>
      </c>
      <c r="H224" s="13">
        <v>3330</v>
      </c>
      <c r="I224" s="15">
        <f t="shared" si="9"/>
        <v>0.47735554398750651</v>
      </c>
      <c r="J224" s="13">
        <f t="shared" si="10"/>
        <v>2989.2004164497657</v>
      </c>
      <c r="K224" s="13">
        <f t="shared" si="11"/>
        <v>4132.92</v>
      </c>
    </row>
    <row r="225" spans="1:11" x14ac:dyDescent="0.25">
      <c r="A225" s="4" t="s">
        <v>267</v>
      </c>
      <c r="B225" s="4" t="s">
        <v>7</v>
      </c>
      <c r="C225" s="4" t="s">
        <v>237</v>
      </c>
      <c r="D225" s="12">
        <v>2</v>
      </c>
      <c r="E225" s="12">
        <v>2</v>
      </c>
      <c r="F225" s="13">
        <v>173747</v>
      </c>
      <c r="G225" s="14">
        <v>1</v>
      </c>
      <c r="H225" s="13">
        <v>186722</v>
      </c>
      <c r="I225" s="15">
        <f t="shared" si="9"/>
        <v>1</v>
      </c>
      <c r="J225" s="13">
        <f t="shared" si="10"/>
        <v>173747</v>
      </c>
      <c r="K225" s="13">
        <f t="shared" si="11"/>
        <v>173747</v>
      </c>
    </row>
    <row r="226" spans="1:11" x14ac:dyDescent="0.25">
      <c r="A226" s="4" t="s">
        <v>268</v>
      </c>
      <c r="B226" s="4" t="s">
        <v>7</v>
      </c>
      <c r="C226" s="4" t="s">
        <v>27</v>
      </c>
      <c r="D226" s="12">
        <v>671</v>
      </c>
      <c r="E226" s="12">
        <v>451</v>
      </c>
      <c r="F226" s="13">
        <v>5314</v>
      </c>
      <c r="G226" s="14">
        <v>0.79</v>
      </c>
      <c r="H226" s="13">
        <v>3495</v>
      </c>
      <c r="I226" s="15">
        <f t="shared" si="9"/>
        <v>0.67213114754098358</v>
      </c>
      <c r="J226" s="13">
        <f t="shared" si="10"/>
        <v>3571.7049180327867</v>
      </c>
      <c r="K226" s="13">
        <f t="shared" si="11"/>
        <v>4198.0600000000004</v>
      </c>
    </row>
    <row r="227" spans="1:11" x14ac:dyDescent="0.25">
      <c r="A227" s="4" t="s">
        <v>269</v>
      </c>
      <c r="B227" s="4" t="s">
        <v>7</v>
      </c>
      <c r="C227" s="4" t="s">
        <v>240</v>
      </c>
      <c r="D227" s="12">
        <v>1613</v>
      </c>
      <c r="E227" s="12">
        <v>1111</v>
      </c>
      <c r="F227" s="13">
        <v>112652</v>
      </c>
      <c r="G227" s="14">
        <v>0.81</v>
      </c>
      <c r="H227" s="13">
        <v>86961</v>
      </c>
      <c r="I227" s="15">
        <f t="shared" si="9"/>
        <v>0.68877867327960318</v>
      </c>
      <c r="J227" s="13">
        <f t="shared" si="10"/>
        <v>77592.295102293851</v>
      </c>
      <c r="K227" s="13">
        <f t="shared" si="11"/>
        <v>91248.12000000001</v>
      </c>
    </row>
    <row r="228" spans="1:11" x14ac:dyDescent="0.25">
      <c r="A228" s="4" t="s">
        <v>270</v>
      </c>
      <c r="B228" s="4" t="s">
        <v>7</v>
      </c>
      <c r="C228" s="4" t="s">
        <v>45</v>
      </c>
      <c r="D228" s="12">
        <v>24946</v>
      </c>
      <c r="E228" s="12">
        <v>11458</v>
      </c>
      <c r="F228" s="13">
        <v>37170</v>
      </c>
      <c r="G228" s="14">
        <v>0.65</v>
      </c>
      <c r="H228" s="13">
        <v>16960</v>
      </c>
      <c r="I228" s="15">
        <f t="shared" si="9"/>
        <v>0.45931211416659984</v>
      </c>
      <c r="J228" s="13">
        <f t="shared" si="10"/>
        <v>17072.631283572515</v>
      </c>
      <c r="K228" s="13">
        <f t="shared" si="11"/>
        <v>24160.5</v>
      </c>
    </row>
    <row r="229" spans="1:11" x14ac:dyDescent="0.25">
      <c r="A229" s="4" t="s">
        <v>271</v>
      </c>
      <c r="B229" s="4" t="s">
        <v>7</v>
      </c>
      <c r="C229" s="4" t="s">
        <v>32</v>
      </c>
      <c r="D229" s="12">
        <v>407</v>
      </c>
      <c r="E229" s="12">
        <v>224</v>
      </c>
      <c r="F229" s="13">
        <v>10818</v>
      </c>
      <c r="G229" s="14">
        <v>0.62</v>
      </c>
      <c r="H229" s="13">
        <v>6167</v>
      </c>
      <c r="I229" s="15">
        <f t="shared" si="9"/>
        <v>0.55036855036855037</v>
      </c>
      <c r="J229" s="13">
        <f t="shared" si="10"/>
        <v>5953.8869778869775</v>
      </c>
      <c r="K229" s="13">
        <f t="shared" si="11"/>
        <v>6707.16</v>
      </c>
    </row>
    <row r="230" spans="1:11" x14ac:dyDescent="0.25">
      <c r="A230" s="4" t="s">
        <v>272</v>
      </c>
      <c r="B230" s="4" t="s">
        <v>7</v>
      </c>
      <c r="C230" s="4" t="s">
        <v>237</v>
      </c>
      <c r="D230" s="12">
        <v>2</v>
      </c>
      <c r="E230" s="12">
        <v>1</v>
      </c>
      <c r="F230" s="13">
        <v>219597</v>
      </c>
      <c r="G230" s="14">
        <v>0.57999999999999996</v>
      </c>
      <c r="H230" s="13">
        <v>118532</v>
      </c>
      <c r="I230" s="15">
        <f t="shared" si="9"/>
        <v>0.5</v>
      </c>
      <c r="J230" s="13">
        <f t="shared" si="10"/>
        <v>109798.5</v>
      </c>
      <c r="K230" s="13">
        <f t="shared" si="11"/>
        <v>127366.26</v>
      </c>
    </row>
    <row r="231" spans="1:11" x14ac:dyDescent="0.25">
      <c r="A231" s="4" t="s">
        <v>273</v>
      </c>
      <c r="B231" s="4" t="s">
        <v>7</v>
      </c>
      <c r="C231" s="4" t="s">
        <v>32</v>
      </c>
      <c r="D231" s="12">
        <v>2499</v>
      </c>
      <c r="E231" s="12">
        <v>2043</v>
      </c>
      <c r="F231" s="13">
        <v>8946</v>
      </c>
      <c r="G231" s="14">
        <v>0.86</v>
      </c>
      <c r="H231" s="13">
        <v>7526</v>
      </c>
      <c r="I231" s="15">
        <f t="shared" si="9"/>
        <v>0.81752701080432177</v>
      </c>
      <c r="J231" s="13">
        <f t="shared" si="10"/>
        <v>7313.5966386554628</v>
      </c>
      <c r="K231" s="13">
        <f t="shared" si="11"/>
        <v>7693.5599999999995</v>
      </c>
    </row>
    <row r="232" spans="1:11" x14ac:dyDescent="0.25">
      <c r="A232" s="4" t="s">
        <v>274</v>
      </c>
      <c r="B232" s="4" t="s">
        <v>7</v>
      </c>
      <c r="C232" s="4" t="s">
        <v>237</v>
      </c>
      <c r="D232" s="12">
        <v>2</v>
      </c>
      <c r="E232" s="12">
        <v>1</v>
      </c>
      <c r="F232" s="13">
        <v>157098</v>
      </c>
      <c r="G232" s="14">
        <v>0.65</v>
      </c>
      <c r="H232" s="13">
        <v>79106</v>
      </c>
      <c r="I232" s="15">
        <f t="shared" si="9"/>
        <v>0.5</v>
      </c>
      <c r="J232" s="13">
        <f t="shared" si="10"/>
        <v>78549</v>
      </c>
      <c r="K232" s="13">
        <f t="shared" si="11"/>
        <v>102113.7</v>
      </c>
    </row>
    <row r="233" spans="1:11" x14ac:dyDescent="0.25">
      <c r="A233" s="4" t="s">
        <v>275</v>
      </c>
      <c r="B233" s="4" t="s">
        <v>7</v>
      </c>
      <c r="C233" s="4" t="s">
        <v>240</v>
      </c>
      <c r="D233" s="12">
        <v>491</v>
      </c>
      <c r="E233" s="12">
        <v>264</v>
      </c>
      <c r="F233" s="13">
        <v>20701</v>
      </c>
      <c r="G233" s="14">
        <v>0.57999999999999996</v>
      </c>
      <c r="H233" s="13">
        <v>10848</v>
      </c>
      <c r="I233" s="15">
        <f t="shared" si="9"/>
        <v>0.53767820773930752</v>
      </c>
      <c r="J233" s="13">
        <f t="shared" si="10"/>
        <v>11130.476578411404</v>
      </c>
      <c r="K233" s="13">
        <f t="shared" si="11"/>
        <v>12006.58</v>
      </c>
    </row>
    <row r="234" spans="1:11" x14ac:dyDescent="0.25">
      <c r="A234" s="4" t="s">
        <v>276</v>
      </c>
      <c r="B234" s="4" t="s">
        <v>7</v>
      </c>
      <c r="C234" s="4" t="s">
        <v>32</v>
      </c>
      <c r="D234" s="12">
        <v>1644</v>
      </c>
      <c r="E234" s="12">
        <v>1183</v>
      </c>
      <c r="F234" s="13">
        <v>28885</v>
      </c>
      <c r="G234" s="14">
        <v>0.85</v>
      </c>
      <c r="H234" s="13">
        <v>19938</v>
      </c>
      <c r="I234" s="15">
        <f t="shared" si="9"/>
        <v>0.71958637469586373</v>
      </c>
      <c r="J234" s="13">
        <f t="shared" si="10"/>
        <v>20785.252433090023</v>
      </c>
      <c r="K234" s="13">
        <f t="shared" si="11"/>
        <v>24552.25</v>
      </c>
    </row>
    <row r="235" spans="1:11" x14ac:dyDescent="0.25">
      <c r="A235" s="4" t="s">
        <v>277</v>
      </c>
      <c r="B235" s="4" t="s">
        <v>7</v>
      </c>
      <c r="C235" s="4" t="s">
        <v>237</v>
      </c>
      <c r="D235" s="12">
        <v>72</v>
      </c>
      <c r="E235" s="12">
        <v>49</v>
      </c>
      <c r="F235" s="13">
        <v>74169</v>
      </c>
      <c r="G235" s="14">
        <v>0.83</v>
      </c>
      <c r="H235" s="13">
        <v>50687</v>
      </c>
      <c r="I235" s="15">
        <f t="shared" si="9"/>
        <v>0.68055555555555558</v>
      </c>
      <c r="J235" s="13">
        <f t="shared" si="10"/>
        <v>50476.125</v>
      </c>
      <c r="K235" s="13">
        <f t="shared" si="11"/>
        <v>61560.27</v>
      </c>
    </row>
    <row r="236" spans="1:11" x14ac:dyDescent="0.25">
      <c r="A236" s="4" t="s">
        <v>278</v>
      </c>
      <c r="B236" s="4" t="s">
        <v>7</v>
      </c>
      <c r="C236" s="4" t="s">
        <v>237</v>
      </c>
      <c r="D236" s="12">
        <v>1</v>
      </c>
      <c r="E236" s="12">
        <v>0</v>
      </c>
      <c r="F236" s="13">
        <v>89719</v>
      </c>
      <c r="G236" s="14">
        <v>0.18</v>
      </c>
      <c r="H236" s="13">
        <v>0</v>
      </c>
      <c r="I236" s="15">
        <f t="shared" si="9"/>
        <v>0</v>
      </c>
      <c r="J236" s="13">
        <f t="shared" si="10"/>
        <v>0</v>
      </c>
      <c r="K236" s="13">
        <f t="shared" si="11"/>
        <v>16149.42</v>
      </c>
    </row>
    <row r="237" spans="1:11" x14ac:dyDescent="0.25">
      <c r="A237" s="4" t="s">
        <v>279</v>
      </c>
      <c r="B237" s="4" t="s">
        <v>7</v>
      </c>
      <c r="C237" s="4" t="s">
        <v>237</v>
      </c>
      <c r="D237" s="12">
        <v>1</v>
      </c>
      <c r="E237" s="12">
        <v>1</v>
      </c>
      <c r="F237" s="13">
        <v>61417</v>
      </c>
      <c r="G237" s="14">
        <v>1</v>
      </c>
      <c r="H237" s="13">
        <v>69335</v>
      </c>
      <c r="I237" s="15">
        <f t="shared" si="9"/>
        <v>1</v>
      </c>
      <c r="J237" s="13">
        <f t="shared" si="10"/>
        <v>61417</v>
      </c>
      <c r="K237" s="13">
        <f t="shared" si="11"/>
        <v>61417</v>
      </c>
    </row>
    <row r="238" spans="1:11" x14ac:dyDescent="0.25">
      <c r="A238" s="4" t="s">
        <v>280</v>
      </c>
      <c r="B238" s="4" t="s">
        <v>7</v>
      </c>
      <c r="C238" s="4" t="s">
        <v>237</v>
      </c>
      <c r="D238" s="12">
        <v>2</v>
      </c>
      <c r="E238" s="12">
        <v>1</v>
      </c>
      <c r="F238" s="13">
        <v>135966</v>
      </c>
      <c r="G238" s="14">
        <v>0.56000000000000005</v>
      </c>
      <c r="H238" s="13">
        <v>68207</v>
      </c>
      <c r="I238" s="15">
        <f t="shared" si="9"/>
        <v>0.5</v>
      </c>
      <c r="J238" s="13">
        <f t="shared" si="10"/>
        <v>67983</v>
      </c>
      <c r="K238" s="13">
        <f t="shared" si="11"/>
        <v>76140.960000000006</v>
      </c>
    </row>
    <row r="239" spans="1:11" x14ac:dyDescent="0.25">
      <c r="A239" s="4" t="s">
        <v>281</v>
      </c>
      <c r="B239" s="4" t="s">
        <v>7</v>
      </c>
      <c r="C239" s="4" t="s">
        <v>237</v>
      </c>
      <c r="D239" s="12">
        <v>2</v>
      </c>
      <c r="E239" s="12">
        <v>1</v>
      </c>
      <c r="F239" s="13">
        <v>185180</v>
      </c>
      <c r="G239" s="14">
        <v>0.62</v>
      </c>
      <c r="H239" s="13">
        <v>90858</v>
      </c>
      <c r="I239" s="15">
        <f t="shared" si="9"/>
        <v>0.5</v>
      </c>
      <c r="J239" s="13">
        <f t="shared" si="10"/>
        <v>92590</v>
      </c>
      <c r="K239" s="13">
        <f t="shared" si="11"/>
        <v>114811.6</v>
      </c>
    </row>
    <row r="240" spans="1:11" x14ac:dyDescent="0.25">
      <c r="A240" s="4" t="s">
        <v>282</v>
      </c>
      <c r="B240" s="4" t="s">
        <v>7</v>
      </c>
      <c r="C240" s="4" t="s">
        <v>240</v>
      </c>
      <c r="D240" s="12">
        <v>629</v>
      </c>
      <c r="E240" s="12">
        <v>362</v>
      </c>
      <c r="F240" s="13">
        <v>39954</v>
      </c>
      <c r="G240" s="14">
        <v>0.64</v>
      </c>
      <c r="H240" s="13">
        <v>23003</v>
      </c>
      <c r="I240" s="15">
        <f t="shared" si="9"/>
        <v>0.57551669316375198</v>
      </c>
      <c r="J240" s="13">
        <f t="shared" si="10"/>
        <v>22994.193958664546</v>
      </c>
      <c r="K240" s="13">
        <f t="shared" si="11"/>
        <v>25570.560000000001</v>
      </c>
    </row>
    <row r="241" spans="1:11" x14ac:dyDescent="0.25">
      <c r="A241" s="4" t="s">
        <v>283</v>
      </c>
      <c r="B241" s="4" t="s">
        <v>7</v>
      </c>
      <c r="C241" s="4" t="s">
        <v>32</v>
      </c>
      <c r="D241" s="12">
        <v>2835</v>
      </c>
      <c r="E241" s="12">
        <v>1793</v>
      </c>
      <c r="F241" s="13">
        <v>71329</v>
      </c>
      <c r="G241" s="14">
        <v>0.69</v>
      </c>
      <c r="H241" s="13">
        <v>49844</v>
      </c>
      <c r="I241" s="15">
        <f t="shared" si="9"/>
        <v>0.63245149911816578</v>
      </c>
      <c r="J241" s="13">
        <f t="shared" si="10"/>
        <v>45112.13298059965</v>
      </c>
      <c r="K241" s="13">
        <f t="shared" si="11"/>
        <v>49217.009999999995</v>
      </c>
    </row>
    <row r="242" spans="1:11" x14ac:dyDescent="0.25">
      <c r="A242" s="4" t="s">
        <v>284</v>
      </c>
      <c r="B242" s="4" t="s">
        <v>7</v>
      </c>
      <c r="C242" s="4" t="s">
        <v>27</v>
      </c>
      <c r="D242" s="12">
        <v>708</v>
      </c>
      <c r="E242" s="12">
        <v>507</v>
      </c>
      <c r="F242" s="13">
        <v>5565</v>
      </c>
      <c r="G242" s="14">
        <v>0.89</v>
      </c>
      <c r="H242" s="13">
        <v>4214</v>
      </c>
      <c r="I242" s="15">
        <f t="shared" si="9"/>
        <v>0.71610169491525422</v>
      </c>
      <c r="J242" s="13">
        <f t="shared" si="10"/>
        <v>3985.1059322033898</v>
      </c>
      <c r="K242" s="13">
        <f t="shared" si="11"/>
        <v>4952.8500000000004</v>
      </c>
    </row>
    <row r="243" spans="1:11" x14ac:dyDescent="0.25">
      <c r="A243" s="4" t="s">
        <v>285</v>
      </c>
      <c r="B243" s="4" t="s">
        <v>7</v>
      </c>
      <c r="C243" s="4" t="s">
        <v>240</v>
      </c>
      <c r="D243" s="12">
        <v>652</v>
      </c>
      <c r="E243" s="12">
        <v>337</v>
      </c>
      <c r="F243" s="13">
        <v>38735</v>
      </c>
      <c r="G243" s="14">
        <v>0.65</v>
      </c>
      <c r="H243" s="13">
        <v>21081</v>
      </c>
      <c r="I243" s="15">
        <f t="shared" si="9"/>
        <v>0.51687116564417179</v>
      </c>
      <c r="J243" s="13">
        <f t="shared" si="10"/>
        <v>20021.004601226996</v>
      </c>
      <c r="K243" s="13">
        <f t="shared" si="11"/>
        <v>25177.75</v>
      </c>
    </row>
    <row r="244" spans="1:11" x14ac:dyDescent="0.25">
      <c r="A244" s="4" t="s">
        <v>286</v>
      </c>
      <c r="B244" s="4" t="s">
        <v>7</v>
      </c>
      <c r="C244" s="4" t="s">
        <v>237</v>
      </c>
      <c r="D244" s="12">
        <v>1</v>
      </c>
      <c r="E244" s="12">
        <v>1</v>
      </c>
      <c r="F244" s="13">
        <v>73080</v>
      </c>
      <c r="G244" s="14">
        <v>1</v>
      </c>
      <c r="H244" s="13">
        <v>70293</v>
      </c>
      <c r="I244" s="15">
        <f t="shared" si="9"/>
        <v>1</v>
      </c>
      <c r="J244" s="13">
        <f t="shared" si="10"/>
        <v>73080</v>
      </c>
      <c r="K244" s="13">
        <f t="shared" si="11"/>
        <v>73080</v>
      </c>
    </row>
    <row r="245" spans="1:11" x14ac:dyDescent="0.25">
      <c r="A245" s="4" t="s">
        <v>287</v>
      </c>
      <c r="B245" s="4" t="s">
        <v>7</v>
      </c>
      <c r="C245" s="4" t="s">
        <v>240</v>
      </c>
      <c r="D245" s="12">
        <v>2909</v>
      </c>
      <c r="E245" s="12">
        <v>1524</v>
      </c>
      <c r="F245" s="13">
        <v>174860</v>
      </c>
      <c r="G245" s="14">
        <v>0.7</v>
      </c>
      <c r="H245" s="13">
        <v>97667</v>
      </c>
      <c r="I245" s="15">
        <f t="shared" si="9"/>
        <v>0.5238913716053627</v>
      </c>
      <c r="J245" s="13">
        <f t="shared" si="10"/>
        <v>91607.645238913727</v>
      </c>
      <c r="K245" s="13">
        <f t="shared" si="11"/>
        <v>122401.99999999999</v>
      </c>
    </row>
    <row r="246" spans="1:11" x14ac:dyDescent="0.25">
      <c r="A246" s="4" t="s">
        <v>288</v>
      </c>
      <c r="B246" s="4" t="s">
        <v>7</v>
      </c>
      <c r="C246" s="4" t="s">
        <v>237</v>
      </c>
      <c r="D246" s="12">
        <v>2</v>
      </c>
      <c r="E246" s="12">
        <v>2</v>
      </c>
      <c r="F246" s="13">
        <v>152638</v>
      </c>
      <c r="G246" s="14">
        <v>1</v>
      </c>
      <c r="H246" s="13">
        <v>171983</v>
      </c>
      <c r="I246" s="15">
        <f t="shared" si="9"/>
        <v>1</v>
      </c>
      <c r="J246" s="13">
        <f t="shared" si="10"/>
        <v>152638</v>
      </c>
      <c r="K246" s="13">
        <f t="shared" si="11"/>
        <v>152638</v>
      </c>
    </row>
    <row r="247" spans="1:11" x14ac:dyDescent="0.25">
      <c r="A247" s="4" t="s">
        <v>289</v>
      </c>
      <c r="B247" s="4" t="s">
        <v>7</v>
      </c>
      <c r="C247" s="4" t="s">
        <v>32</v>
      </c>
      <c r="D247" s="12">
        <v>2911</v>
      </c>
      <c r="E247" s="12">
        <v>1819</v>
      </c>
      <c r="F247" s="13">
        <v>8646</v>
      </c>
      <c r="G247" s="14">
        <v>0.73</v>
      </c>
      <c r="H247" s="13">
        <v>5223</v>
      </c>
      <c r="I247" s="15">
        <f t="shared" si="9"/>
        <v>0.62487117828924765</v>
      </c>
      <c r="J247" s="13">
        <f t="shared" si="10"/>
        <v>5402.6362074888348</v>
      </c>
      <c r="K247" s="13">
        <f t="shared" si="11"/>
        <v>6311.58</v>
      </c>
    </row>
    <row r="248" spans="1:11" x14ac:dyDescent="0.25">
      <c r="A248" s="4" t="s">
        <v>290</v>
      </c>
      <c r="B248" s="4" t="s">
        <v>7</v>
      </c>
      <c r="C248" s="4" t="s">
        <v>237</v>
      </c>
      <c r="D248" s="12">
        <v>2</v>
      </c>
      <c r="E248" s="12">
        <v>2</v>
      </c>
      <c r="F248" s="13">
        <v>259354</v>
      </c>
      <c r="G248" s="14">
        <v>1</v>
      </c>
      <c r="H248" s="13">
        <v>259831</v>
      </c>
      <c r="I248" s="15">
        <f t="shared" si="9"/>
        <v>1</v>
      </c>
      <c r="J248" s="13">
        <f t="shared" si="10"/>
        <v>259354</v>
      </c>
      <c r="K248" s="13">
        <f t="shared" si="11"/>
        <v>259354</v>
      </c>
    </row>
    <row r="249" spans="1:11" x14ac:dyDescent="0.25">
      <c r="A249" s="4" t="s">
        <v>291</v>
      </c>
      <c r="B249" s="4" t="s">
        <v>7</v>
      </c>
      <c r="C249" s="4" t="s">
        <v>27</v>
      </c>
      <c r="D249" s="12">
        <v>1665</v>
      </c>
      <c r="E249" s="12">
        <v>1143</v>
      </c>
      <c r="F249" s="13">
        <v>16217</v>
      </c>
      <c r="G249" s="14">
        <v>0.79</v>
      </c>
      <c r="H249" s="13">
        <v>11165</v>
      </c>
      <c r="I249" s="15">
        <f t="shared" si="9"/>
        <v>0.68648648648648647</v>
      </c>
      <c r="J249" s="13">
        <f t="shared" si="10"/>
        <v>11132.751351351351</v>
      </c>
      <c r="K249" s="13">
        <f t="shared" si="11"/>
        <v>12811.43</v>
      </c>
    </row>
    <row r="250" spans="1:11" x14ac:dyDescent="0.25">
      <c r="A250" s="4" t="s">
        <v>292</v>
      </c>
      <c r="B250" s="4" t="s">
        <v>7</v>
      </c>
      <c r="C250" s="4" t="s">
        <v>32</v>
      </c>
      <c r="D250" s="12">
        <v>2305</v>
      </c>
      <c r="E250" s="12">
        <v>2014</v>
      </c>
      <c r="F250" s="13">
        <v>6154</v>
      </c>
      <c r="G250" s="14">
        <v>1</v>
      </c>
      <c r="H250" s="13">
        <v>5345</v>
      </c>
      <c r="I250" s="15">
        <f t="shared" si="9"/>
        <v>0.87375271149674616</v>
      </c>
      <c r="J250" s="13">
        <f t="shared" si="10"/>
        <v>5377.0741865509763</v>
      </c>
      <c r="K250" s="13">
        <f t="shared" si="11"/>
        <v>6154</v>
      </c>
    </row>
    <row r="251" spans="1:11" x14ac:dyDescent="0.25">
      <c r="A251" s="4" t="s">
        <v>293</v>
      </c>
      <c r="B251" s="4" t="s">
        <v>7</v>
      </c>
      <c r="C251" s="4" t="s">
        <v>27</v>
      </c>
      <c r="D251" s="12">
        <v>559</v>
      </c>
      <c r="E251" s="12">
        <v>337</v>
      </c>
      <c r="F251" s="13">
        <v>4567</v>
      </c>
      <c r="G251" s="14">
        <v>0.68</v>
      </c>
      <c r="H251" s="13">
        <v>3119</v>
      </c>
      <c r="I251" s="15">
        <f t="shared" si="9"/>
        <v>0.60286225402504467</v>
      </c>
      <c r="J251" s="13">
        <f t="shared" si="10"/>
        <v>2753.2719141323792</v>
      </c>
      <c r="K251" s="13">
        <f t="shared" si="11"/>
        <v>3105.5600000000004</v>
      </c>
    </row>
    <row r="252" spans="1:11" x14ac:dyDescent="0.25">
      <c r="A252" s="4" t="s">
        <v>294</v>
      </c>
      <c r="B252" s="4" t="s">
        <v>7</v>
      </c>
      <c r="C252" s="4" t="s">
        <v>45</v>
      </c>
      <c r="D252" s="12">
        <v>11611</v>
      </c>
      <c r="E252" s="12">
        <v>6976</v>
      </c>
      <c r="F252" s="13">
        <v>14978</v>
      </c>
      <c r="G252" s="14">
        <v>0.71</v>
      </c>
      <c r="H252" s="13">
        <v>9349</v>
      </c>
      <c r="I252" s="15">
        <f t="shared" si="9"/>
        <v>0.60080957712513994</v>
      </c>
      <c r="J252" s="13">
        <f t="shared" si="10"/>
        <v>8998.9258461803456</v>
      </c>
      <c r="K252" s="13">
        <f t="shared" si="11"/>
        <v>10634.38</v>
      </c>
    </row>
    <row r="253" spans="1:11" x14ac:dyDescent="0.25">
      <c r="A253" s="4" t="s">
        <v>295</v>
      </c>
      <c r="B253" s="4" t="s">
        <v>7</v>
      </c>
      <c r="C253" s="4" t="s">
        <v>32</v>
      </c>
      <c r="D253" s="12">
        <v>1478</v>
      </c>
      <c r="E253" s="12">
        <v>1318</v>
      </c>
      <c r="F253" s="13">
        <v>38561</v>
      </c>
      <c r="G253" s="14">
        <v>1</v>
      </c>
      <c r="H253" s="13">
        <v>34037</v>
      </c>
      <c r="I253" s="15">
        <f t="shared" si="9"/>
        <v>0.89174560216508791</v>
      </c>
      <c r="J253" s="13">
        <f t="shared" si="10"/>
        <v>34386.602165087956</v>
      </c>
      <c r="K253" s="13">
        <f t="shared" si="11"/>
        <v>38561</v>
      </c>
    </row>
    <row r="254" spans="1:11" x14ac:dyDescent="0.25">
      <c r="A254" s="4" t="s">
        <v>296</v>
      </c>
      <c r="B254" s="4" t="s">
        <v>7</v>
      </c>
      <c r="C254" s="4" t="s">
        <v>32</v>
      </c>
      <c r="D254" s="12">
        <v>2543</v>
      </c>
      <c r="E254" s="12">
        <v>2189</v>
      </c>
      <c r="F254" s="13">
        <v>14088</v>
      </c>
      <c r="G254" s="14">
        <v>1</v>
      </c>
      <c r="H254" s="13">
        <v>12620</v>
      </c>
      <c r="I254" s="15">
        <f t="shared" si="9"/>
        <v>0.86079433739677547</v>
      </c>
      <c r="J254" s="13">
        <f t="shared" si="10"/>
        <v>12126.870625245772</v>
      </c>
      <c r="K254" s="13">
        <f t="shared" si="11"/>
        <v>14088</v>
      </c>
    </row>
    <row r="255" spans="1:11" x14ac:dyDescent="0.25">
      <c r="A255" s="4" t="s">
        <v>297</v>
      </c>
      <c r="B255" s="4" t="s">
        <v>7</v>
      </c>
      <c r="C255" s="4" t="s">
        <v>237</v>
      </c>
      <c r="D255" s="12">
        <v>30</v>
      </c>
      <c r="E255" s="12">
        <v>25</v>
      </c>
      <c r="F255" s="13">
        <v>41090</v>
      </c>
      <c r="G255" s="14">
        <v>0.88</v>
      </c>
      <c r="H255" s="13">
        <v>33147</v>
      </c>
      <c r="I255" s="15">
        <f t="shared" si="9"/>
        <v>0.83333333333333337</v>
      </c>
      <c r="J255" s="13">
        <f t="shared" si="10"/>
        <v>34241.666666666672</v>
      </c>
      <c r="K255" s="13">
        <f t="shared" si="11"/>
        <v>36159.199999999997</v>
      </c>
    </row>
    <row r="256" spans="1:11" x14ac:dyDescent="0.25">
      <c r="A256" s="4" t="s">
        <v>298</v>
      </c>
      <c r="B256" s="4" t="s">
        <v>7</v>
      </c>
      <c r="C256" s="4" t="s">
        <v>237</v>
      </c>
      <c r="D256" s="12">
        <v>2</v>
      </c>
      <c r="E256" s="12">
        <v>1</v>
      </c>
      <c r="F256" s="13">
        <v>265999</v>
      </c>
      <c r="G256" s="14">
        <v>0.69</v>
      </c>
      <c r="H256" s="13">
        <v>142806</v>
      </c>
      <c r="I256" s="15">
        <f t="shared" si="9"/>
        <v>0.5</v>
      </c>
      <c r="J256" s="13">
        <f t="shared" si="10"/>
        <v>132999.5</v>
      </c>
      <c r="K256" s="13">
        <f t="shared" si="11"/>
        <v>183539.31</v>
      </c>
    </row>
    <row r="257" spans="1:11" x14ac:dyDescent="0.25">
      <c r="A257" s="4" t="s">
        <v>299</v>
      </c>
      <c r="B257" s="4" t="s">
        <v>7</v>
      </c>
      <c r="C257" s="4" t="s">
        <v>237</v>
      </c>
      <c r="D257" s="12">
        <v>40</v>
      </c>
      <c r="E257" s="12">
        <v>35</v>
      </c>
      <c r="F257" s="13">
        <v>48652</v>
      </c>
      <c r="G257" s="14">
        <v>0.95</v>
      </c>
      <c r="H257" s="13">
        <v>40329</v>
      </c>
      <c r="I257" s="15">
        <f t="shared" si="9"/>
        <v>0.875</v>
      </c>
      <c r="J257" s="13">
        <f t="shared" si="10"/>
        <v>42570.5</v>
      </c>
      <c r="K257" s="13">
        <f t="shared" si="11"/>
        <v>46219.4</v>
      </c>
    </row>
    <row r="258" spans="1:11" x14ac:dyDescent="0.25">
      <c r="A258" s="4" t="s">
        <v>300</v>
      </c>
      <c r="B258" s="4" t="s">
        <v>7</v>
      </c>
      <c r="C258" s="4" t="s">
        <v>237</v>
      </c>
      <c r="D258" s="12">
        <v>69</v>
      </c>
      <c r="E258" s="12">
        <v>44</v>
      </c>
      <c r="F258" s="13">
        <v>50923</v>
      </c>
      <c r="G258" s="14">
        <v>0.78</v>
      </c>
      <c r="H258" s="13">
        <v>31494</v>
      </c>
      <c r="I258" s="15">
        <f t="shared" si="9"/>
        <v>0.6376811594202898</v>
      </c>
      <c r="J258" s="13">
        <f t="shared" si="10"/>
        <v>32472.637681159416</v>
      </c>
      <c r="K258" s="13">
        <f t="shared" si="11"/>
        <v>39719.94</v>
      </c>
    </row>
    <row r="259" spans="1:11" x14ac:dyDescent="0.25">
      <c r="A259" s="4" t="s">
        <v>301</v>
      </c>
      <c r="B259" s="4" t="s">
        <v>7</v>
      </c>
      <c r="C259" s="4" t="s">
        <v>32</v>
      </c>
      <c r="D259" s="12">
        <v>2983</v>
      </c>
      <c r="E259" s="12">
        <v>1832</v>
      </c>
      <c r="F259" s="13">
        <v>16019</v>
      </c>
      <c r="G259" s="14">
        <v>0.74</v>
      </c>
      <c r="H259" s="13">
        <v>10524</v>
      </c>
      <c r="I259" s="15">
        <f t="shared" si="9"/>
        <v>0.61414683204827358</v>
      </c>
      <c r="J259" s="13">
        <f t="shared" si="10"/>
        <v>9838.0181025812944</v>
      </c>
      <c r="K259" s="13">
        <f t="shared" si="11"/>
        <v>11854.06</v>
      </c>
    </row>
    <row r="260" spans="1:11" x14ac:dyDescent="0.25">
      <c r="A260" s="4" t="s">
        <v>302</v>
      </c>
      <c r="B260" s="4" t="s">
        <v>7</v>
      </c>
      <c r="C260" s="4" t="s">
        <v>27</v>
      </c>
      <c r="D260" s="12">
        <v>1166</v>
      </c>
      <c r="E260" s="12">
        <v>561</v>
      </c>
      <c r="F260" s="13">
        <v>13118</v>
      </c>
      <c r="G260" s="14">
        <v>0.59</v>
      </c>
      <c r="H260" s="13">
        <v>6739</v>
      </c>
      <c r="I260" s="15">
        <f t="shared" si="9"/>
        <v>0.48113207547169812</v>
      </c>
      <c r="J260" s="13">
        <f t="shared" si="10"/>
        <v>6311.4905660377362</v>
      </c>
      <c r="K260" s="13">
        <f t="shared" si="11"/>
        <v>7739.62</v>
      </c>
    </row>
    <row r="261" spans="1:11" x14ac:dyDescent="0.25">
      <c r="A261" s="4" t="s">
        <v>303</v>
      </c>
      <c r="B261" s="4" t="s">
        <v>7</v>
      </c>
      <c r="C261" s="4" t="s">
        <v>240</v>
      </c>
      <c r="D261" s="12">
        <v>508</v>
      </c>
      <c r="E261" s="12">
        <v>344</v>
      </c>
      <c r="F261" s="13">
        <v>28448</v>
      </c>
      <c r="G261" s="14">
        <v>0.72</v>
      </c>
      <c r="H261" s="13">
        <v>21033</v>
      </c>
      <c r="I261" s="15">
        <f t="shared" ref="I261:I324" si="12">IF(D261&gt;0,MIN(E261/D261,1),0)</f>
        <v>0.67716535433070868</v>
      </c>
      <c r="J261" s="13">
        <f t="shared" ref="J261:J324" si="13">F261*I261</f>
        <v>19264</v>
      </c>
      <c r="K261" s="13">
        <f t="shared" ref="K261:K324" si="14">F261*G261</f>
        <v>20482.559999999998</v>
      </c>
    </row>
    <row r="262" spans="1:11" x14ac:dyDescent="0.25">
      <c r="A262" s="4" t="s">
        <v>304</v>
      </c>
      <c r="B262" s="4" t="s">
        <v>7</v>
      </c>
      <c r="C262" s="4" t="s">
        <v>237</v>
      </c>
      <c r="D262" s="12">
        <v>93</v>
      </c>
      <c r="E262" s="12">
        <v>48</v>
      </c>
      <c r="F262" s="13">
        <v>127882</v>
      </c>
      <c r="G262" s="14">
        <v>0.71</v>
      </c>
      <c r="H262" s="13">
        <v>74002</v>
      </c>
      <c r="I262" s="15">
        <f t="shared" si="12"/>
        <v>0.5161290322580645</v>
      </c>
      <c r="J262" s="13">
        <f t="shared" si="13"/>
        <v>66003.612903225803</v>
      </c>
      <c r="K262" s="13">
        <f t="shared" si="14"/>
        <v>90796.22</v>
      </c>
    </row>
    <row r="263" spans="1:11" x14ac:dyDescent="0.25">
      <c r="A263" s="4" t="s">
        <v>305</v>
      </c>
      <c r="B263" s="4" t="s">
        <v>7</v>
      </c>
      <c r="C263" s="4" t="s">
        <v>32</v>
      </c>
      <c r="D263" s="12">
        <v>2950</v>
      </c>
      <c r="E263" s="12">
        <v>2358</v>
      </c>
      <c r="F263" s="13">
        <v>12656</v>
      </c>
      <c r="G263" s="14">
        <v>0.99</v>
      </c>
      <c r="H263" s="13">
        <v>11437</v>
      </c>
      <c r="I263" s="15">
        <f t="shared" si="12"/>
        <v>0.79932203389830514</v>
      </c>
      <c r="J263" s="13">
        <f t="shared" si="13"/>
        <v>10116.21966101695</v>
      </c>
      <c r="K263" s="13">
        <f t="shared" si="14"/>
        <v>12529.44</v>
      </c>
    </row>
    <row r="264" spans="1:11" x14ac:dyDescent="0.25">
      <c r="A264" s="4" t="s">
        <v>306</v>
      </c>
      <c r="B264" s="4" t="s">
        <v>7</v>
      </c>
      <c r="C264" s="4" t="s">
        <v>237</v>
      </c>
      <c r="D264" s="12">
        <v>1</v>
      </c>
      <c r="E264" s="12">
        <v>1</v>
      </c>
      <c r="F264" s="13">
        <v>62928</v>
      </c>
      <c r="G264" s="14">
        <v>1</v>
      </c>
      <c r="H264" s="13">
        <v>69172</v>
      </c>
      <c r="I264" s="15">
        <f t="shared" si="12"/>
        <v>1</v>
      </c>
      <c r="J264" s="13">
        <f t="shared" si="13"/>
        <v>62928</v>
      </c>
      <c r="K264" s="13">
        <f t="shared" si="14"/>
        <v>62928</v>
      </c>
    </row>
    <row r="265" spans="1:11" x14ac:dyDescent="0.25">
      <c r="A265" s="4" t="s">
        <v>307</v>
      </c>
      <c r="B265" s="4" t="s">
        <v>7</v>
      </c>
      <c r="C265" s="4" t="s">
        <v>237</v>
      </c>
      <c r="D265" s="12">
        <v>1</v>
      </c>
      <c r="E265" s="12">
        <v>1</v>
      </c>
      <c r="F265" s="13">
        <v>109343</v>
      </c>
      <c r="G265" s="14">
        <v>1</v>
      </c>
      <c r="H265" s="13">
        <v>115733</v>
      </c>
      <c r="I265" s="15">
        <f t="shared" si="12"/>
        <v>1</v>
      </c>
      <c r="J265" s="13">
        <f t="shared" si="13"/>
        <v>109343</v>
      </c>
      <c r="K265" s="13">
        <f t="shared" si="14"/>
        <v>109343</v>
      </c>
    </row>
    <row r="266" spans="1:11" x14ac:dyDescent="0.25">
      <c r="A266" s="4" t="s">
        <v>308</v>
      </c>
      <c r="B266" s="4" t="s">
        <v>7</v>
      </c>
      <c r="C266" s="4" t="s">
        <v>240</v>
      </c>
      <c r="D266" s="12">
        <v>526</v>
      </c>
      <c r="E266" s="12">
        <v>446</v>
      </c>
      <c r="F266" s="13">
        <v>21929</v>
      </c>
      <c r="G266" s="14">
        <v>1</v>
      </c>
      <c r="H266" s="13">
        <v>19225</v>
      </c>
      <c r="I266" s="15">
        <f t="shared" si="12"/>
        <v>0.84790874524714832</v>
      </c>
      <c r="J266" s="13">
        <f t="shared" si="13"/>
        <v>18593.790874524715</v>
      </c>
      <c r="K266" s="13">
        <f t="shared" si="14"/>
        <v>21929</v>
      </c>
    </row>
    <row r="267" spans="1:11" x14ac:dyDescent="0.25">
      <c r="A267" s="4" t="s">
        <v>309</v>
      </c>
      <c r="B267" s="4" t="s">
        <v>7</v>
      </c>
      <c r="C267" s="4" t="s">
        <v>240</v>
      </c>
      <c r="D267" s="12">
        <v>677</v>
      </c>
      <c r="E267" s="12">
        <v>315</v>
      </c>
      <c r="F267" s="13">
        <v>45251</v>
      </c>
      <c r="G267" s="14">
        <v>0.61</v>
      </c>
      <c r="H267" s="13">
        <v>23608</v>
      </c>
      <c r="I267" s="15">
        <f t="shared" si="12"/>
        <v>0.465288035450517</v>
      </c>
      <c r="J267" s="13">
        <f t="shared" si="13"/>
        <v>21054.748892171345</v>
      </c>
      <c r="K267" s="13">
        <f t="shared" si="14"/>
        <v>27603.11</v>
      </c>
    </row>
    <row r="268" spans="1:11" x14ac:dyDescent="0.25">
      <c r="A268" s="4" t="s">
        <v>310</v>
      </c>
      <c r="B268" s="4" t="s">
        <v>7</v>
      </c>
      <c r="C268" s="4" t="s">
        <v>32</v>
      </c>
      <c r="D268" s="12">
        <v>1216</v>
      </c>
      <c r="E268" s="12">
        <v>693</v>
      </c>
      <c r="F268" s="13">
        <v>33537</v>
      </c>
      <c r="G268" s="14">
        <v>0.72</v>
      </c>
      <c r="H268" s="13">
        <v>20177</v>
      </c>
      <c r="I268" s="15">
        <f t="shared" si="12"/>
        <v>0.56990131578947367</v>
      </c>
      <c r="J268" s="13">
        <f t="shared" si="13"/>
        <v>19112.78042763158</v>
      </c>
      <c r="K268" s="13">
        <f t="shared" si="14"/>
        <v>24146.639999999999</v>
      </c>
    </row>
    <row r="269" spans="1:11" x14ac:dyDescent="0.25">
      <c r="A269" s="4" t="s">
        <v>311</v>
      </c>
      <c r="B269" s="4" t="s">
        <v>7</v>
      </c>
      <c r="C269" s="4" t="s">
        <v>237</v>
      </c>
      <c r="D269" s="12">
        <v>2</v>
      </c>
      <c r="E269" s="12">
        <v>1</v>
      </c>
      <c r="F269" s="13">
        <v>184288</v>
      </c>
      <c r="G269" s="14">
        <v>0.63</v>
      </c>
      <c r="H269" s="13">
        <v>89150</v>
      </c>
      <c r="I269" s="15">
        <f t="shared" si="12"/>
        <v>0.5</v>
      </c>
      <c r="J269" s="13">
        <f t="shared" si="13"/>
        <v>92144</v>
      </c>
      <c r="K269" s="13">
        <f t="shared" si="14"/>
        <v>116101.44</v>
      </c>
    </row>
    <row r="270" spans="1:11" x14ac:dyDescent="0.25">
      <c r="A270" s="4" t="s">
        <v>312</v>
      </c>
      <c r="B270" s="4" t="s">
        <v>7</v>
      </c>
      <c r="C270" s="4" t="s">
        <v>237</v>
      </c>
      <c r="D270" s="12">
        <v>34</v>
      </c>
      <c r="E270" s="12">
        <v>29</v>
      </c>
      <c r="F270" s="13">
        <v>13616</v>
      </c>
      <c r="G270" s="14">
        <v>0.99</v>
      </c>
      <c r="H270" s="13">
        <v>11457</v>
      </c>
      <c r="I270" s="15">
        <f t="shared" si="12"/>
        <v>0.8529411764705882</v>
      </c>
      <c r="J270" s="13">
        <f t="shared" si="13"/>
        <v>11613.64705882353</v>
      </c>
      <c r="K270" s="13">
        <f t="shared" si="14"/>
        <v>13479.84</v>
      </c>
    </row>
    <row r="271" spans="1:11" x14ac:dyDescent="0.25">
      <c r="A271" s="4" t="s">
        <v>313</v>
      </c>
      <c r="B271" s="4" t="s">
        <v>7</v>
      </c>
      <c r="C271" s="4" t="s">
        <v>237</v>
      </c>
      <c r="D271" s="12">
        <v>2</v>
      </c>
      <c r="E271" s="12">
        <v>1</v>
      </c>
      <c r="F271" s="13">
        <v>237819</v>
      </c>
      <c r="G271" s="14">
        <v>0.62</v>
      </c>
      <c r="H271" s="13">
        <v>118783</v>
      </c>
      <c r="I271" s="15">
        <f t="shared" si="12"/>
        <v>0.5</v>
      </c>
      <c r="J271" s="13">
        <f t="shared" si="13"/>
        <v>118909.5</v>
      </c>
      <c r="K271" s="13">
        <f t="shared" si="14"/>
        <v>147447.78</v>
      </c>
    </row>
    <row r="272" spans="1:11" x14ac:dyDescent="0.25">
      <c r="A272" s="4" t="s">
        <v>314</v>
      </c>
      <c r="B272" s="4" t="s">
        <v>7</v>
      </c>
      <c r="C272" s="4" t="s">
        <v>237</v>
      </c>
      <c r="D272" s="12">
        <v>1</v>
      </c>
      <c r="E272" s="12">
        <v>1</v>
      </c>
      <c r="F272" s="13">
        <v>105696</v>
      </c>
      <c r="G272" s="14">
        <v>1</v>
      </c>
      <c r="H272" s="13">
        <v>115111</v>
      </c>
      <c r="I272" s="15">
        <f t="shared" si="12"/>
        <v>1</v>
      </c>
      <c r="J272" s="13">
        <f t="shared" si="13"/>
        <v>105696</v>
      </c>
      <c r="K272" s="13">
        <f t="shared" si="14"/>
        <v>105696</v>
      </c>
    </row>
    <row r="273" spans="1:11" x14ac:dyDescent="0.25">
      <c r="A273" s="4" t="s">
        <v>315</v>
      </c>
      <c r="B273" s="4" t="s">
        <v>7</v>
      </c>
      <c r="C273" s="4" t="s">
        <v>32</v>
      </c>
      <c r="D273" s="12">
        <v>1469</v>
      </c>
      <c r="E273" s="12">
        <v>1290</v>
      </c>
      <c r="F273" s="13">
        <v>3643</v>
      </c>
      <c r="G273" s="14">
        <v>0.96</v>
      </c>
      <c r="H273" s="13">
        <v>3067</v>
      </c>
      <c r="I273" s="15">
        <f t="shared" si="12"/>
        <v>0.87814840027229413</v>
      </c>
      <c r="J273" s="13">
        <f t="shared" si="13"/>
        <v>3199.0946221919676</v>
      </c>
      <c r="K273" s="13">
        <f t="shared" si="14"/>
        <v>3497.2799999999997</v>
      </c>
    </row>
    <row r="274" spans="1:11" x14ac:dyDescent="0.25">
      <c r="A274" s="4" t="s">
        <v>316</v>
      </c>
      <c r="B274" s="4" t="s">
        <v>7</v>
      </c>
      <c r="C274" s="4" t="s">
        <v>45</v>
      </c>
      <c r="D274" s="12">
        <v>5586</v>
      </c>
      <c r="E274" s="12">
        <v>3281</v>
      </c>
      <c r="F274" s="13">
        <v>7485</v>
      </c>
      <c r="G274" s="14">
        <v>0.73</v>
      </c>
      <c r="H274" s="13">
        <v>4807</v>
      </c>
      <c r="I274" s="15">
        <f t="shared" si="12"/>
        <v>0.58736126029359115</v>
      </c>
      <c r="J274" s="13">
        <f t="shared" si="13"/>
        <v>4396.39903329753</v>
      </c>
      <c r="K274" s="13">
        <f t="shared" si="14"/>
        <v>5464.05</v>
      </c>
    </row>
    <row r="275" spans="1:11" x14ac:dyDescent="0.25">
      <c r="A275" s="4" t="s">
        <v>317</v>
      </c>
      <c r="B275" s="4" t="s">
        <v>7</v>
      </c>
      <c r="C275" s="4" t="s">
        <v>32</v>
      </c>
      <c r="D275" s="12">
        <v>2865</v>
      </c>
      <c r="E275" s="12">
        <v>1444</v>
      </c>
      <c r="F275" s="13">
        <v>66353</v>
      </c>
      <c r="G275" s="14">
        <v>0.64</v>
      </c>
      <c r="H275" s="13">
        <v>34667</v>
      </c>
      <c r="I275" s="15">
        <f t="shared" si="12"/>
        <v>0.50401396160558465</v>
      </c>
      <c r="J275" s="13">
        <f t="shared" si="13"/>
        <v>33442.838394415361</v>
      </c>
      <c r="K275" s="13">
        <f t="shared" si="14"/>
        <v>42465.919999999998</v>
      </c>
    </row>
    <row r="276" spans="1:11" x14ac:dyDescent="0.25">
      <c r="A276" s="4" t="s">
        <v>318</v>
      </c>
      <c r="B276" s="4" t="s">
        <v>7</v>
      </c>
      <c r="C276" s="4" t="s">
        <v>240</v>
      </c>
      <c r="D276" s="12">
        <v>2091</v>
      </c>
      <c r="E276" s="12">
        <v>1841</v>
      </c>
      <c r="F276" s="13">
        <v>86400</v>
      </c>
      <c r="G276" s="14">
        <v>1</v>
      </c>
      <c r="H276" s="13">
        <v>81290</v>
      </c>
      <c r="I276" s="15">
        <f t="shared" si="12"/>
        <v>0.88043998087039699</v>
      </c>
      <c r="J276" s="13">
        <f t="shared" si="13"/>
        <v>76070.014347202305</v>
      </c>
      <c r="K276" s="13">
        <f t="shared" si="14"/>
        <v>86400</v>
      </c>
    </row>
    <row r="277" spans="1:11" x14ac:dyDescent="0.25">
      <c r="A277" s="4" t="s">
        <v>319</v>
      </c>
      <c r="B277" s="4" t="s">
        <v>7</v>
      </c>
      <c r="C277" s="4" t="s">
        <v>237</v>
      </c>
      <c r="D277" s="12">
        <v>2</v>
      </c>
      <c r="E277" s="12">
        <v>1</v>
      </c>
      <c r="F277" s="13">
        <v>236636</v>
      </c>
      <c r="G277" s="14">
        <v>0.61</v>
      </c>
      <c r="H277" s="13">
        <v>115864</v>
      </c>
      <c r="I277" s="15">
        <f t="shared" si="12"/>
        <v>0.5</v>
      </c>
      <c r="J277" s="13">
        <f t="shared" si="13"/>
        <v>118318</v>
      </c>
      <c r="K277" s="13">
        <f t="shared" si="14"/>
        <v>144347.96</v>
      </c>
    </row>
    <row r="278" spans="1:11" x14ac:dyDescent="0.25">
      <c r="A278" s="4" t="s">
        <v>320</v>
      </c>
      <c r="B278" s="4" t="s">
        <v>7</v>
      </c>
      <c r="C278" s="4" t="s">
        <v>237</v>
      </c>
      <c r="D278" s="12">
        <v>111</v>
      </c>
      <c r="E278" s="12">
        <v>77</v>
      </c>
      <c r="F278" s="13">
        <v>149770</v>
      </c>
      <c r="G278" s="14">
        <v>0.76</v>
      </c>
      <c r="H278" s="13">
        <v>111862</v>
      </c>
      <c r="I278" s="15">
        <f t="shared" si="12"/>
        <v>0.69369369369369371</v>
      </c>
      <c r="J278" s="13">
        <f t="shared" si="13"/>
        <v>103894.50450450451</v>
      </c>
      <c r="K278" s="13">
        <f t="shared" si="14"/>
        <v>113825.2</v>
      </c>
    </row>
    <row r="279" spans="1:11" x14ac:dyDescent="0.25">
      <c r="A279" s="4" t="s">
        <v>321</v>
      </c>
      <c r="B279" s="4" t="s">
        <v>7</v>
      </c>
      <c r="C279" s="4" t="s">
        <v>45</v>
      </c>
      <c r="D279" s="12">
        <v>9582</v>
      </c>
      <c r="E279" s="12">
        <v>4846</v>
      </c>
      <c r="F279" s="13">
        <v>11211</v>
      </c>
      <c r="G279" s="14">
        <v>0.56999999999999995</v>
      </c>
      <c r="H279" s="13">
        <v>5372</v>
      </c>
      <c r="I279" s="15">
        <f t="shared" si="12"/>
        <v>0.50573992903360465</v>
      </c>
      <c r="J279" s="13">
        <f t="shared" si="13"/>
        <v>5669.8503443957416</v>
      </c>
      <c r="K279" s="13">
        <f t="shared" si="14"/>
        <v>6390.2699999999995</v>
      </c>
    </row>
    <row r="280" spans="1:11" x14ac:dyDescent="0.25">
      <c r="A280" s="4" t="s">
        <v>322</v>
      </c>
      <c r="B280" s="4" t="s">
        <v>7</v>
      </c>
      <c r="C280" s="4" t="s">
        <v>237</v>
      </c>
      <c r="D280" s="12">
        <v>56</v>
      </c>
      <c r="E280" s="12">
        <v>33</v>
      </c>
      <c r="F280" s="13">
        <v>69142</v>
      </c>
      <c r="G280" s="14">
        <v>0.69</v>
      </c>
      <c r="H280" s="13">
        <v>40101</v>
      </c>
      <c r="I280" s="15">
        <f t="shared" si="12"/>
        <v>0.5892857142857143</v>
      </c>
      <c r="J280" s="13">
        <f t="shared" si="13"/>
        <v>40744.392857142855</v>
      </c>
      <c r="K280" s="13">
        <f t="shared" si="14"/>
        <v>47707.979999999996</v>
      </c>
    </row>
    <row r="281" spans="1:11" x14ac:dyDescent="0.25">
      <c r="A281" s="4" t="s">
        <v>323</v>
      </c>
      <c r="B281" s="4" t="s">
        <v>7</v>
      </c>
      <c r="C281" s="4" t="s">
        <v>240</v>
      </c>
      <c r="D281" s="12">
        <v>1824</v>
      </c>
      <c r="E281" s="12">
        <v>1057</v>
      </c>
      <c r="F281" s="13">
        <v>105683</v>
      </c>
      <c r="G281" s="14">
        <v>0.66</v>
      </c>
      <c r="H281" s="13">
        <v>69145</v>
      </c>
      <c r="I281" s="15">
        <f t="shared" si="12"/>
        <v>0.57949561403508776</v>
      </c>
      <c r="J281" s="13">
        <f t="shared" si="13"/>
        <v>61242.834978070183</v>
      </c>
      <c r="K281" s="13">
        <f t="shared" si="14"/>
        <v>69750.78</v>
      </c>
    </row>
    <row r="282" spans="1:11" x14ac:dyDescent="0.25">
      <c r="A282" s="4" t="s">
        <v>324</v>
      </c>
      <c r="B282" s="4" t="s">
        <v>7</v>
      </c>
      <c r="C282" s="4" t="s">
        <v>237</v>
      </c>
      <c r="D282" s="12">
        <v>2</v>
      </c>
      <c r="E282" s="12">
        <v>1</v>
      </c>
      <c r="F282" s="13">
        <v>215820</v>
      </c>
      <c r="G282" s="14">
        <v>0.63</v>
      </c>
      <c r="H282" s="13">
        <v>118329</v>
      </c>
      <c r="I282" s="15">
        <f t="shared" si="12"/>
        <v>0.5</v>
      </c>
      <c r="J282" s="13">
        <f t="shared" si="13"/>
        <v>107910</v>
      </c>
      <c r="K282" s="13">
        <f t="shared" si="14"/>
        <v>135966.6</v>
      </c>
    </row>
    <row r="283" spans="1:11" x14ac:dyDescent="0.25">
      <c r="A283" s="4" t="s">
        <v>325</v>
      </c>
      <c r="B283" s="4" t="s">
        <v>7</v>
      </c>
      <c r="C283" s="4" t="s">
        <v>45</v>
      </c>
      <c r="D283" s="12">
        <v>22940</v>
      </c>
      <c r="E283" s="12">
        <v>18992</v>
      </c>
      <c r="F283" s="13">
        <v>33722</v>
      </c>
      <c r="G283" s="14">
        <v>0.97</v>
      </c>
      <c r="H283" s="13">
        <v>29254</v>
      </c>
      <c r="I283" s="15">
        <f t="shared" si="12"/>
        <v>0.82789886660854406</v>
      </c>
      <c r="J283" s="13">
        <f t="shared" si="13"/>
        <v>27918.405579773324</v>
      </c>
      <c r="K283" s="13">
        <f t="shared" si="14"/>
        <v>32710.34</v>
      </c>
    </row>
    <row r="284" spans="1:11" x14ac:dyDescent="0.25">
      <c r="A284" s="4" t="s">
        <v>326</v>
      </c>
      <c r="B284" s="4" t="s">
        <v>7</v>
      </c>
      <c r="C284" s="4" t="s">
        <v>237</v>
      </c>
      <c r="D284" s="12">
        <v>109</v>
      </c>
      <c r="E284" s="12">
        <v>77</v>
      </c>
      <c r="F284" s="13">
        <v>68330</v>
      </c>
      <c r="G284" s="14">
        <v>0.85</v>
      </c>
      <c r="H284" s="13">
        <v>47905</v>
      </c>
      <c r="I284" s="15">
        <f t="shared" si="12"/>
        <v>0.70642201834862384</v>
      </c>
      <c r="J284" s="13">
        <f t="shared" si="13"/>
        <v>48269.816513761463</v>
      </c>
      <c r="K284" s="13">
        <f t="shared" si="14"/>
        <v>58080.5</v>
      </c>
    </row>
    <row r="285" spans="1:11" x14ac:dyDescent="0.25">
      <c r="A285" s="4" t="s">
        <v>327</v>
      </c>
      <c r="B285" s="4" t="s">
        <v>7</v>
      </c>
      <c r="C285" s="4" t="s">
        <v>237</v>
      </c>
      <c r="D285" s="12">
        <v>1</v>
      </c>
      <c r="E285" s="12">
        <v>1</v>
      </c>
      <c r="F285" s="13">
        <v>119863</v>
      </c>
      <c r="G285" s="14">
        <v>1</v>
      </c>
      <c r="H285" s="13">
        <v>122017</v>
      </c>
      <c r="I285" s="15">
        <f t="shared" si="12"/>
        <v>1</v>
      </c>
      <c r="J285" s="13">
        <f t="shared" si="13"/>
        <v>119863</v>
      </c>
      <c r="K285" s="13">
        <f t="shared" si="14"/>
        <v>119863</v>
      </c>
    </row>
    <row r="286" spans="1:11" x14ac:dyDescent="0.25">
      <c r="A286" s="4" t="s">
        <v>328</v>
      </c>
      <c r="B286" s="4" t="s">
        <v>7</v>
      </c>
      <c r="C286" s="4" t="s">
        <v>237</v>
      </c>
      <c r="D286" s="12">
        <v>2</v>
      </c>
      <c r="E286" s="12">
        <v>2</v>
      </c>
      <c r="F286" s="13">
        <v>220241</v>
      </c>
      <c r="G286" s="14">
        <v>1</v>
      </c>
      <c r="H286" s="13">
        <v>216218</v>
      </c>
      <c r="I286" s="15">
        <f t="shared" si="12"/>
        <v>1</v>
      </c>
      <c r="J286" s="13">
        <f t="shared" si="13"/>
        <v>220241</v>
      </c>
      <c r="K286" s="13">
        <f t="shared" si="14"/>
        <v>220241</v>
      </c>
    </row>
    <row r="287" spans="1:11" x14ac:dyDescent="0.25">
      <c r="A287" s="4" t="s">
        <v>329</v>
      </c>
      <c r="B287" s="4" t="s">
        <v>7</v>
      </c>
      <c r="C287" s="4" t="s">
        <v>32</v>
      </c>
      <c r="D287" s="12">
        <v>752</v>
      </c>
      <c r="E287" s="12">
        <v>494</v>
      </c>
      <c r="F287" s="13">
        <v>2835</v>
      </c>
      <c r="G287" s="14">
        <v>0.78</v>
      </c>
      <c r="H287" s="13">
        <v>2018</v>
      </c>
      <c r="I287" s="15">
        <f t="shared" si="12"/>
        <v>0.65691489361702127</v>
      </c>
      <c r="J287" s="13">
        <f t="shared" si="13"/>
        <v>1862.3537234042553</v>
      </c>
      <c r="K287" s="13">
        <f t="shared" si="14"/>
        <v>2211.3000000000002</v>
      </c>
    </row>
    <row r="288" spans="1:11" x14ac:dyDescent="0.25">
      <c r="A288" s="4" t="s">
        <v>330</v>
      </c>
      <c r="B288" s="4" t="s">
        <v>7</v>
      </c>
      <c r="C288" s="4" t="s">
        <v>240</v>
      </c>
      <c r="D288" s="12">
        <v>1923</v>
      </c>
      <c r="E288" s="12">
        <v>1396</v>
      </c>
      <c r="F288" s="13">
        <v>91612</v>
      </c>
      <c r="G288" s="14">
        <v>0.84</v>
      </c>
      <c r="H288" s="13">
        <v>64528</v>
      </c>
      <c r="I288" s="15">
        <f t="shared" si="12"/>
        <v>0.72594903796151844</v>
      </c>
      <c r="J288" s="13">
        <f t="shared" si="13"/>
        <v>66505.643265730629</v>
      </c>
      <c r="K288" s="13">
        <f t="shared" si="14"/>
        <v>76954.080000000002</v>
      </c>
    </row>
    <row r="289" spans="1:11" x14ac:dyDescent="0.25">
      <c r="A289" s="4" t="s">
        <v>331</v>
      </c>
      <c r="B289" s="4" t="s">
        <v>7</v>
      </c>
      <c r="C289" s="4" t="s">
        <v>32</v>
      </c>
      <c r="D289" s="12">
        <v>2632</v>
      </c>
      <c r="E289" s="12">
        <v>1552</v>
      </c>
      <c r="F289" s="13">
        <v>10581</v>
      </c>
      <c r="G289" s="14">
        <v>0.67</v>
      </c>
      <c r="H289" s="13">
        <v>6872</v>
      </c>
      <c r="I289" s="15">
        <f t="shared" si="12"/>
        <v>0.58966565349544076</v>
      </c>
      <c r="J289" s="13">
        <f t="shared" si="13"/>
        <v>6239.2522796352587</v>
      </c>
      <c r="K289" s="13">
        <f t="shared" si="14"/>
        <v>7089.27</v>
      </c>
    </row>
    <row r="290" spans="1:11" x14ac:dyDescent="0.25">
      <c r="A290" s="4" t="s">
        <v>332</v>
      </c>
      <c r="B290" s="4" t="s">
        <v>7</v>
      </c>
      <c r="C290" s="4" t="s">
        <v>237</v>
      </c>
      <c r="D290" s="12">
        <v>78</v>
      </c>
      <c r="E290" s="12">
        <v>43</v>
      </c>
      <c r="F290" s="13">
        <v>39548</v>
      </c>
      <c r="G290" s="14">
        <v>0.67</v>
      </c>
      <c r="H290" s="13">
        <v>21247</v>
      </c>
      <c r="I290" s="15">
        <f t="shared" si="12"/>
        <v>0.55128205128205132</v>
      </c>
      <c r="J290" s="13">
        <f t="shared" si="13"/>
        <v>21802.102564102566</v>
      </c>
      <c r="K290" s="13">
        <f t="shared" si="14"/>
        <v>26497.16</v>
      </c>
    </row>
    <row r="291" spans="1:11" x14ac:dyDescent="0.25">
      <c r="A291" s="4" t="s">
        <v>333</v>
      </c>
      <c r="B291" s="4" t="s">
        <v>7</v>
      </c>
      <c r="C291" s="4" t="s">
        <v>240</v>
      </c>
      <c r="D291" s="12">
        <v>1827</v>
      </c>
      <c r="E291" s="12">
        <v>1137</v>
      </c>
      <c r="F291" s="13">
        <v>111849</v>
      </c>
      <c r="G291" s="14">
        <v>0.76</v>
      </c>
      <c r="H291" s="13">
        <v>70367</v>
      </c>
      <c r="I291" s="15">
        <f t="shared" si="12"/>
        <v>0.62233169129720856</v>
      </c>
      <c r="J291" s="13">
        <f t="shared" si="13"/>
        <v>69607.177339901478</v>
      </c>
      <c r="K291" s="13">
        <f t="shared" si="14"/>
        <v>85005.24</v>
      </c>
    </row>
    <row r="292" spans="1:11" x14ac:dyDescent="0.25">
      <c r="A292" s="4" t="s">
        <v>334</v>
      </c>
      <c r="B292" s="4" t="s">
        <v>7</v>
      </c>
      <c r="C292" s="4" t="s">
        <v>237</v>
      </c>
      <c r="D292" s="12">
        <v>2</v>
      </c>
      <c r="E292" s="12">
        <v>1</v>
      </c>
      <c r="F292" s="13">
        <v>227000</v>
      </c>
      <c r="G292" s="14">
        <v>0.6</v>
      </c>
      <c r="H292" s="13">
        <v>117554</v>
      </c>
      <c r="I292" s="15">
        <f t="shared" si="12"/>
        <v>0.5</v>
      </c>
      <c r="J292" s="13">
        <f t="shared" si="13"/>
        <v>113500</v>
      </c>
      <c r="K292" s="13">
        <f t="shared" si="14"/>
        <v>136200</v>
      </c>
    </row>
    <row r="293" spans="1:11" x14ac:dyDescent="0.25">
      <c r="A293" s="4" t="s">
        <v>335</v>
      </c>
      <c r="B293" s="4" t="s">
        <v>7</v>
      </c>
      <c r="C293" s="4" t="s">
        <v>32</v>
      </c>
      <c r="D293" s="12">
        <v>1094</v>
      </c>
      <c r="E293" s="12">
        <v>917</v>
      </c>
      <c r="F293" s="13">
        <v>24713</v>
      </c>
      <c r="G293" s="14">
        <v>0.92</v>
      </c>
      <c r="H293" s="13">
        <v>21167</v>
      </c>
      <c r="I293" s="15">
        <f t="shared" si="12"/>
        <v>0.83820840950639852</v>
      </c>
      <c r="J293" s="13">
        <f t="shared" si="13"/>
        <v>20714.644424131628</v>
      </c>
      <c r="K293" s="13">
        <f t="shared" si="14"/>
        <v>22735.960000000003</v>
      </c>
    </row>
    <row r="294" spans="1:11" x14ac:dyDescent="0.25">
      <c r="A294" s="4" t="s">
        <v>336</v>
      </c>
      <c r="B294" s="4" t="s">
        <v>7</v>
      </c>
      <c r="C294" s="4" t="s">
        <v>45</v>
      </c>
      <c r="D294" s="12">
        <v>22978</v>
      </c>
      <c r="E294" s="12">
        <v>16096</v>
      </c>
      <c r="F294" s="13">
        <v>23897</v>
      </c>
      <c r="G294" s="14">
        <v>0.82</v>
      </c>
      <c r="H294" s="13">
        <v>17629</v>
      </c>
      <c r="I294" s="15">
        <f t="shared" si="12"/>
        <v>0.70049612672991557</v>
      </c>
      <c r="J294" s="13">
        <f t="shared" si="13"/>
        <v>16739.755940464791</v>
      </c>
      <c r="K294" s="13">
        <f t="shared" si="14"/>
        <v>19595.539999999997</v>
      </c>
    </row>
    <row r="295" spans="1:11" x14ac:dyDescent="0.25">
      <c r="A295" s="4" t="s">
        <v>337</v>
      </c>
      <c r="B295" s="4" t="s">
        <v>7</v>
      </c>
      <c r="C295" s="4" t="s">
        <v>27</v>
      </c>
      <c r="D295" s="12">
        <v>1516</v>
      </c>
      <c r="E295" s="12">
        <v>877</v>
      </c>
      <c r="F295" s="13">
        <v>17404</v>
      </c>
      <c r="G295" s="14">
        <v>0.78</v>
      </c>
      <c r="H295" s="13">
        <v>10861</v>
      </c>
      <c r="I295" s="15">
        <f t="shared" si="12"/>
        <v>0.57849604221635886</v>
      </c>
      <c r="J295" s="13">
        <f t="shared" si="13"/>
        <v>10068.14511873351</v>
      </c>
      <c r="K295" s="13">
        <f t="shared" si="14"/>
        <v>13575.12</v>
      </c>
    </row>
    <row r="296" spans="1:11" x14ac:dyDescent="0.25">
      <c r="A296" s="4" t="s">
        <v>338</v>
      </c>
      <c r="B296" s="4" t="s">
        <v>7</v>
      </c>
      <c r="C296" s="4" t="s">
        <v>237</v>
      </c>
      <c r="D296" s="12">
        <v>54</v>
      </c>
      <c r="E296" s="12">
        <v>31</v>
      </c>
      <c r="F296" s="13">
        <v>38180</v>
      </c>
      <c r="G296" s="14">
        <v>0.74</v>
      </c>
      <c r="H296" s="13">
        <v>22339</v>
      </c>
      <c r="I296" s="15">
        <f t="shared" si="12"/>
        <v>0.57407407407407407</v>
      </c>
      <c r="J296" s="13">
        <f t="shared" si="13"/>
        <v>21918.14814814815</v>
      </c>
      <c r="K296" s="13">
        <f t="shared" si="14"/>
        <v>28253.200000000001</v>
      </c>
    </row>
    <row r="297" spans="1:11" x14ac:dyDescent="0.25">
      <c r="A297" s="4" t="s">
        <v>339</v>
      </c>
      <c r="B297" s="4" t="s">
        <v>7</v>
      </c>
      <c r="C297" s="4" t="s">
        <v>237</v>
      </c>
      <c r="D297" s="12">
        <v>1</v>
      </c>
      <c r="E297" s="12">
        <v>1</v>
      </c>
      <c r="F297" s="13">
        <v>138631</v>
      </c>
      <c r="G297" s="14">
        <v>1</v>
      </c>
      <c r="H297" s="13">
        <v>149178</v>
      </c>
      <c r="I297" s="15">
        <f t="shared" si="12"/>
        <v>1</v>
      </c>
      <c r="J297" s="13">
        <f t="shared" si="13"/>
        <v>138631</v>
      </c>
      <c r="K297" s="13">
        <f t="shared" si="14"/>
        <v>138631</v>
      </c>
    </row>
    <row r="298" spans="1:11" x14ac:dyDescent="0.25">
      <c r="A298" s="4" t="s">
        <v>340</v>
      </c>
      <c r="B298" s="4" t="s">
        <v>7</v>
      </c>
      <c r="C298" s="4" t="s">
        <v>32</v>
      </c>
      <c r="D298" s="12">
        <v>2869</v>
      </c>
      <c r="E298" s="12">
        <v>1377</v>
      </c>
      <c r="F298" s="13">
        <v>67192</v>
      </c>
      <c r="G298" s="14">
        <v>0.66</v>
      </c>
      <c r="H298" s="13">
        <v>33773</v>
      </c>
      <c r="I298" s="15">
        <f t="shared" si="12"/>
        <v>0.47995817357964449</v>
      </c>
      <c r="J298" s="13">
        <f t="shared" si="13"/>
        <v>32249.349599163474</v>
      </c>
      <c r="K298" s="13">
        <f t="shared" si="14"/>
        <v>44346.720000000001</v>
      </c>
    </row>
    <row r="299" spans="1:11" x14ac:dyDescent="0.25">
      <c r="A299" s="4" t="s">
        <v>341</v>
      </c>
      <c r="B299" s="4" t="s">
        <v>7</v>
      </c>
      <c r="C299" s="4" t="s">
        <v>237</v>
      </c>
      <c r="D299" s="12">
        <v>61</v>
      </c>
      <c r="E299" s="12">
        <v>40</v>
      </c>
      <c r="F299" s="13">
        <v>88842</v>
      </c>
      <c r="G299" s="14">
        <v>0.71</v>
      </c>
      <c r="H299" s="13">
        <v>55809</v>
      </c>
      <c r="I299" s="15">
        <f t="shared" si="12"/>
        <v>0.65573770491803274</v>
      </c>
      <c r="J299" s="13">
        <f t="shared" si="13"/>
        <v>58257.049180327864</v>
      </c>
      <c r="K299" s="13">
        <f t="shared" si="14"/>
        <v>63077.82</v>
      </c>
    </row>
    <row r="300" spans="1:11" x14ac:dyDescent="0.25">
      <c r="A300" s="4" t="s">
        <v>342</v>
      </c>
      <c r="B300" s="4" t="s">
        <v>7</v>
      </c>
      <c r="C300" s="4" t="s">
        <v>237</v>
      </c>
      <c r="D300" s="12">
        <v>1</v>
      </c>
      <c r="E300" s="12">
        <v>1</v>
      </c>
      <c r="F300" s="13">
        <v>154013</v>
      </c>
      <c r="G300" s="14">
        <v>1</v>
      </c>
      <c r="H300" s="13">
        <v>145333</v>
      </c>
      <c r="I300" s="15">
        <f t="shared" si="12"/>
        <v>1</v>
      </c>
      <c r="J300" s="13">
        <f t="shared" si="13"/>
        <v>154013</v>
      </c>
      <c r="K300" s="13">
        <f t="shared" si="14"/>
        <v>154013</v>
      </c>
    </row>
    <row r="301" spans="1:11" x14ac:dyDescent="0.25">
      <c r="A301" s="4" t="s">
        <v>343</v>
      </c>
      <c r="B301" s="4" t="s">
        <v>7</v>
      </c>
      <c r="C301" s="4" t="s">
        <v>237</v>
      </c>
      <c r="D301" s="12">
        <v>69</v>
      </c>
      <c r="E301" s="12">
        <v>45</v>
      </c>
      <c r="F301" s="13">
        <v>36887</v>
      </c>
      <c r="G301" s="14">
        <v>0.81</v>
      </c>
      <c r="H301" s="13">
        <v>26601</v>
      </c>
      <c r="I301" s="15">
        <f t="shared" si="12"/>
        <v>0.65217391304347827</v>
      </c>
      <c r="J301" s="13">
        <f t="shared" si="13"/>
        <v>24056.739130434784</v>
      </c>
      <c r="K301" s="13">
        <f t="shared" si="14"/>
        <v>29878.47</v>
      </c>
    </row>
    <row r="302" spans="1:11" x14ac:dyDescent="0.25">
      <c r="A302" s="4" t="s">
        <v>344</v>
      </c>
      <c r="B302" s="4" t="s">
        <v>7</v>
      </c>
      <c r="C302" s="4" t="s">
        <v>45</v>
      </c>
      <c r="D302" s="12">
        <v>28028</v>
      </c>
      <c r="E302" s="12">
        <v>13990</v>
      </c>
      <c r="F302" s="13">
        <v>30270</v>
      </c>
      <c r="G302" s="14">
        <v>0.57999999999999996</v>
      </c>
      <c r="H302" s="13">
        <v>16111</v>
      </c>
      <c r="I302" s="15">
        <f t="shared" si="12"/>
        <v>0.4991437134294277</v>
      </c>
      <c r="J302" s="13">
        <f t="shared" si="13"/>
        <v>15109.080205508777</v>
      </c>
      <c r="K302" s="13">
        <f t="shared" si="14"/>
        <v>17556.599999999999</v>
      </c>
    </row>
    <row r="303" spans="1:11" x14ac:dyDescent="0.25">
      <c r="A303" s="4" t="s">
        <v>345</v>
      </c>
      <c r="B303" s="4" t="s">
        <v>7</v>
      </c>
      <c r="C303" s="4" t="s">
        <v>237</v>
      </c>
      <c r="D303" s="12">
        <v>33</v>
      </c>
      <c r="E303" s="12">
        <v>29</v>
      </c>
      <c r="F303" s="13">
        <v>36050</v>
      </c>
      <c r="G303" s="14">
        <v>1</v>
      </c>
      <c r="H303" s="13">
        <v>31194</v>
      </c>
      <c r="I303" s="15">
        <f t="shared" si="12"/>
        <v>0.87878787878787878</v>
      </c>
      <c r="J303" s="13">
        <f t="shared" si="13"/>
        <v>31680.303030303032</v>
      </c>
      <c r="K303" s="13">
        <f t="shared" si="14"/>
        <v>36050</v>
      </c>
    </row>
    <row r="304" spans="1:11" x14ac:dyDescent="0.25">
      <c r="A304" s="4" t="s">
        <v>346</v>
      </c>
      <c r="B304" s="4" t="s">
        <v>7</v>
      </c>
      <c r="C304" s="4" t="s">
        <v>45</v>
      </c>
      <c r="D304" s="12">
        <v>10764</v>
      </c>
      <c r="E304" s="12">
        <v>5592</v>
      </c>
      <c r="F304" s="13">
        <v>15500</v>
      </c>
      <c r="G304" s="14">
        <v>0.61</v>
      </c>
      <c r="H304" s="13">
        <v>8847</v>
      </c>
      <c r="I304" s="15">
        <f t="shared" si="12"/>
        <v>0.51950947603121511</v>
      </c>
      <c r="J304" s="13">
        <f t="shared" si="13"/>
        <v>8052.3968784838344</v>
      </c>
      <c r="K304" s="13">
        <f t="shared" si="14"/>
        <v>9455</v>
      </c>
    </row>
    <row r="305" spans="1:11" x14ac:dyDescent="0.25">
      <c r="A305" s="4" t="s">
        <v>347</v>
      </c>
      <c r="B305" s="4" t="s">
        <v>7</v>
      </c>
      <c r="C305" s="4" t="s">
        <v>240</v>
      </c>
      <c r="D305" s="12">
        <v>451</v>
      </c>
      <c r="E305" s="12">
        <v>274</v>
      </c>
      <c r="F305" s="13">
        <v>24634</v>
      </c>
      <c r="G305" s="14">
        <v>0.76</v>
      </c>
      <c r="H305" s="13">
        <v>15653</v>
      </c>
      <c r="I305" s="15">
        <f t="shared" si="12"/>
        <v>0.60753880266075388</v>
      </c>
      <c r="J305" s="13">
        <f t="shared" si="13"/>
        <v>14966.110864745011</v>
      </c>
      <c r="K305" s="13">
        <f t="shared" si="14"/>
        <v>18721.84</v>
      </c>
    </row>
    <row r="306" spans="1:11" x14ac:dyDescent="0.25">
      <c r="A306" s="4" t="s">
        <v>348</v>
      </c>
      <c r="B306" s="4" t="s">
        <v>7</v>
      </c>
      <c r="C306" s="4" t="s">
        <v>237</v>
      </c>
      <c r="D306" s="12">
        <v>84</v>
      </c>
      <c r="E306" s="12">
        <v>61</v>
      </c>
      <c r="F306" s="13">
        <v>124753</v>
      </c>
      <c r="G306" s="14">
        <v>0.9</v>
      </c>
      <c r="H306" s="13">
        <v>101286</v>
      </c>
      <c r="I306" s="15">
        <f t="shared" si="12"/>
        <v>0.72619047619047616</v>
      </c>
      <c r="J306" s="13">
        <f t="shared" si="13"/>
        <v>90594.440476190473</v>
      </c>
      <c r="K306" s="13">
        <f t="shared" si="14"/>
        <v>112277.7</v>
      </c>
    </row>
    <row r="307" spans="1:11" x14ac:dyDescent="0.25">
      <c r="A307" s="4" t="s">
        <v>349</v>
      </c>
      <c r="B307" s="4" t="s">
        <v>7</v>
      </c>
      <c r="C307" s="4" t="s">
        <v>27</v>
      </c>
      <c r="D307" s="12">
        <v>245</v>
      </c>
      <c r="E307" s="12">
        <v>201</v>
      </c>
      <c r="F307" s="13">
        <v>1899</v>
      </c>
      <c r="G307" s="14">
        <v>0.94</v>
      </c>
      <c r="H307" s="13">
        <v>1516</v>
      </c>
      <c r="I307" s="15">
        <f t="shared" si="12"/>
        <v>0.82040816326530608</v>
      </c>
      <c r="J307" s="13">
        <f t="shared" si="13"/>
        <v>1557.9551020408162</v>
      </c>
      <c r="K307" s="13">
        <f t="shared" si="14"/>
        <v>1785.06</v>
      </c>
    </row>
    <row r="308" spans="1:11" x14ac:dyDescent="0.25">
      <c r="A308" s="4" t="s">
        <v>350</v>
      </c>
      <c r="B308" s="4" t="s">
        <v>7</v>
      </c>
      <c r="C308" s="4" t="s">
        <v>32</v>
      </c>
      <c r="D308" s="12">
        <v>422</v>
      </c>
      <c r="E308" s="12">
        <v>330</v>
      </c>
      <c r="F308" s="13">
        <v>2021</v>
      </c>
      <c r="G308" s="14">
        <v>0.94</v>
      </c>
      <c r="H308" s="13">
        <v>1546</v>
      </c>
      <c r="I308" s="15">
        <f t="shared" si="12"/>
        <v>0.78199052132701419</v>
      </c>
      <c r="J308" s="13">
        <f t="shared" si="13"/>
        <v>1580.4028436018957</v>
      </c>
      <c r="K308" s="13">
        <f t="shared" si="14"/>
        <v>1899.7399999999998</v>
      </c>
    </row>
    <row r="309" spans="1:11" x14ac:dyDescent="0.25">
      <c r="A309" s="4" t="s">
        <v>351</v>
      </c>
      <c r="B309" s="4" t="s">
        <v>7</v>
      </c>
      <c r="C309" s="4" t="s">
        <v>32</v>
      </c>
      <c r="D309" s="12">
        <v>1336</v>
      </c>
      <c r="E309" s="12">
        <v>1058</v>
      </c>
      <c r="F309" s="13">
        <v>6092</v>
      </c>
      <c r="G309" s="14">
        <v>0.91</v>
      </c>
      <c r="H309" s="13">
        <v>5212</v>
      </c>
      <c r="I309" s="15">
        <f t="shared" si="12"/>
        <v>0.79191616766467066</v>
      </c>
      <c r="J309" s="13">
        <f t="shared" si="13"/>
        <v>4824.3532934131736</v>
      </c>
      <c r="K309" s="13">
        <f t="shared" si="14"/>
        <v>5543.72</v>
      </c>
    </row>
    <row r="310" spans="1:11" x14ac:dyDescent="0.25">
      <c r="A310" s="4" t="s">
        <v>352</v>
      </c>
      <c r="B310" s="4" t="s">
        <v>7</v>
      </c>
      <c r="C310" s="4" t="s">
        <v>237</v>
      </c>
      <c r="D310" s="12">
        <v>106</v>
      </c>
      <c r="E310" s="12">
        <v>85</v>
      </c>
      <c r="F310" s="13">
        <v>60375</v>
      </c>
      <c r="G310" s="14">
        <v>0.96</v>
      </c>
      <c r="H310" s="13">
        <v>49270</v>
      </c>
      <c r="I310" s="15">
        <f t="shared" si="12"/>
        <v>0.80188679245283023</v>
      </c>
      <c r="J310" s="13">
        <f t="shared" si="13"/>
        <v>48413.915094339623</v>
      </c>
      <c r="K310" s="13">
        <f t="shared" si="14"/>
        <v>57960</v>
      </c>
    </row>
    <row r="311" spans="1:11" x14ac:dyDescent="0.25">
      <c r="A311" s="4" t="s">
        <v>353</v>
      </c>
      <c r="B311" s="4" t="s">
        <v>7</v>
      </c>
      <c r="C311" s="4" t="s">
        <v>27</v>
      </c>
      <c r="D311" s="12">
        <v>1085</v>
      </c>
      <c r="E311" s="12">
        <v>935</v>
      </c>
      <c r="F311" s="13">
        <v>9342</v>
      </c>
      <c r="G311" s="14">
        <v>0.92</v>
      </c>
      <c r="H311" s="13">
        <v>8749</v>
      </c>
      <c r="I311" s="15">
        <f t="shared" si="12"/>
        <v>0.86175115207373276</v>
      </c>
      <c r="J311" s="13">
        <f t="shared" si="13"/>
        <v>8050.4792626728113</v>
      </c>
      <c r="K311" s="13">
        <f t="shared" si="14"/>
        <v>8594.6400000000012</v>
      </c>
    </row>
    <row r="312" spans="1:11" x14ac:dyDescent="0.25">
      <c r="A312" s="4" t="s">
        <v>354</v>
      </c>
      <c r="B312" s="4" t="s">
        <v>7</v>
      </c>
      <c r="C312" s="4" t="s">
        <v>237</v>
      </c>
      <c r="D312" s="12">
        <v>2</v>
      </c>
      <c r="E312" s="12">
        <v>2</v>
      </c>
      <c r="F312" s="13">
        <v>203860</v>
      </c>
      <c r="G312" s="14">
        <v>1</v>
      </c>
      <c r="H312" s="13">
        <v>224729</v>
      </c>
      <c r="I312" s="15">
        <f t="shared" si="12"/>
        <v>1</v>
      </c>
      <c r="J312" s="13">
        <f t="shared" si="13"/>
        <v>203860</v>
      </c>
      <c r="K312" s="13">
        <f t="shared" si="14"/>
        <v>203860</v>
      </c>
    </row>
    <row r="313" spans="1:11" x14ac:dyDescent="0.25">
      <c r="A313" s="4" t="s">
        <v>355</v>
      </c>
      <c r="B313" s="4" t="s">
        <v>7</v>
      </c>
      <c r="C313" s="4" t="s">
        <v>237</v>
      </c>
      <c r="D313" s="12">
        <v>2</v>
      </c>
      <c r="E313" s="12">
        <v>1</v>
      </c>
      <c r="F313" s="13">
        <v>257115</v>
      </c>
      <c r="G313" s="14">
        <v>0.66</v>
      </c>
      <c r="H313" s="13">
        <v>126782</v>
      </c>
      <c r="I313" s="15">
        <f t="shared" si="12"/>
        <v>0.5</v>
      </c>
      <c r="J313" s="13">
        <f t="shared" si="13"/>
        <v>128557.5</v>
      </c>
      <c r="K313" s="13">
        <f t="shared" si="14"/>
        <v>169695.9</v>
      </c>
    </row>
    <row r="314" spans="1:11" x14ac:dyDescent="0.25">
      <c r="A314" s="4" t="s">
        <v>356</v>
      </c>
      <c r="B314" s="4" t="s">
        <v>7</v>
      </c>
      <c r="C314" s="4" t="s">
        <v>27</v>
      </c>
      <c r="D314" s="12">
        <v>240</v>
      </c>
      <c r="E314" s="12">
        <v>171</v>
      </c>
      <c r="F314" s="13">
        <v>2438</v>
      </c>
      <c r="G314" s="14">
        <v>0.83</v>
      </c>
      <c r="H314" s="13">
        <v>1648</v>
      </c>
      <c r="I314" s="15">
        <f t="shared" si="12"/>
        <v>0.71250000000000002</v>
      </c>
      <c r="J314" s="13">
        <f t="shared" si="13"/>
        <v>1737.075</v>
      </c>
      <c r="K314" s="13">
        <f t="shared" si="14"/>
        <v>2023.54</v>
      </c>
    </row>
    <row r="315" spans="1:11" x14ac:dyDescent="0.25">
      <c r="A315" s="4" t="s">
        <v>357</v>
      </c>
      <c r="B315" s="4" t="s">
        <v>7</v>
      </c>
      <c r="C315" s="4" t="s">
        <v>237</v>
      </c>
      <c r="D315" s="12">
        <v>2</v>
      </c>
      <c r="E315" s="12">
        <v>2</v>
      </c>
      <c r="F315" s="13">
        <v>245660</v>
      </c>
      <c r="G315" s="14">
        <v>1</v>
      </c>
      <c r="H315" s="13">
        <v>243669</v>
      </c>
      <c r="I315" s="15">
        <f t="shared" si="12"/>
        <v>1</v>
      </c>
      <c r="J315" s="13">
        <f t="shared" si="13"/>
        <v>245660</v>
      </c>
      <c r="K315" s="13">
        <f t="shared" si="14"/>
        <v>245660</v>
      </c>
    </row>
    <row r="316" spans="1:11" x14ac:dyDescent="0.25">
      <c r="A316" s="4" t="s">
        <v>358</v>
      </c>
      <c r="B316" s="4" t="s">
        <v>7</v>
      </c>
      <c r="C316" s="4" t="s">
        <v>27</v>
      </c>
      <c r="D316" s="12">
        <v>417</v>
      </c>
      <c r="E316" s="12">
        <v>295</v>
      </c>
      <c r="F316" s="13">
        <v>3011</v>
      </c>
      <c r="G316" s="14">
        <v>0.81</v>
      </c>
      <c r="H316" s="13">
        <v>2374</v>
      </c>
      <c r="I316" s="15">
        <f t="shared" si="12"/>
        <v>0.70743405275779381</v>
      </c>
      <c r="J316" s="13">
        <f t="shared" si="13"/>
        <v>2130.0839328537172</v>
      </c>
      <c r="K316" s="13">
        <f t="shared" si="14"/>
        <v>2438.9100000000003</v>
      </c>
    </row>
    <row r="317" spans="1:11" x14ac:dyDescent="0.25">
      <c r="A317" s="4" t="s">
        <v>359</v>
      </c>
      <c r="B317" s="4" t="s">
        <v>7</v>
      </c>
      <c r="C317" s="4" t="s">
        <v>237</v>
      </c>
      <c r="D317" s="12">
        <v>40</v>
      </c>
      <c r="E317" s="12">
        <v>32</v>
      </c>
      <c r="F317" s="13">
        <v>47281</v>
      </c>
      <c r="G317" s="14">
        <v>0.98</v>
      </c>
      <c r="H317" s="13">
        <v>39466</v>
      </c>
      <c r="I317" s="15">
        <f t="shared" si="12"/>
        <v>0.8</v>
      </c>
      <c r="J317" s="13">
        <f t="shared" si="13"/>
        <v>37824.800000000003</v>
      </c>
      <c r="K317" s="13">
        <f t="shared" si="14"/>
        <v>46335.38</v>
      </c>
    </row>
    <row r="318" spans="1:11" x14ac:dyDescent="0.25">
      <c r="A318" s="4" t="s">
        <v>360</v>
      </c>
      <c r="B318" s="4" t="s">
        <v>7</v>
      </c>
      <c r="C318" s="4" t="s">
        <v>32</v>
      </c>
      <c r="D318" s="12">
        <v>814</v>
      </c>
      <c r="E318" s="12">
        <v>589</v>
      </c>
      <c r="F318" s="13">
        <v>22784</v>
      </c>
      <c r="G318" s="14">
        <v>0.82</v>
      </c>
      <c r="H318" s="13">
        <v>16045</v>
      </c>
      <c r="I318" s="15">
        <f t="shared" si="12"/>
        <v>0.7235872235872236</v>
      </c>
      <c r="J318" s="13">
        <f t="shared" si="13"/>
        <v>16486.211302211304</v>
      </c>
      <c r="K318" s="13">
        <f t="shared" si="14"/>
        <v>18682.879999999997</v>
      </c>
    </row>
    <row r="319" spans="1:11" x14ac:dyDescent="0.25">
      <c r="A319" s="4" t="s">
        <v>361</v>
      </c>
      <c r="B319" s="4" t="s">
        <v>7</v>
      </c>
      <c r="C319" s="4" t="s">
        <v>237</v>
      </c>
      <c r="D319" s="12">
        <v>111</v>
      </c>
      <c r="E319" s="12">
        <v>73</v>
      </c>
      <c r="F319" s="13">
        <v>100631</v>
      </c>
      <c r="G319" s="14">
        <v>0.77</v>
      </c>
      <c r="H319" s="13">
        <v>62781</v>
      </c>
      <c r="I319" s="15">
        <f t="shared" si="12"/>
        <v>0.65765765765765771</v>
      </c>
      <c r="J319" s="13">
        <f t="shared" si="13"/>
        <v>66180.747747747751</v>
      </c>
      <c r="K319" s="13">
        <f t="shared" si="14"/>
        <v>77485.87</v>
      </c>
    </row>
    <row r="320" spans="1:11" x14ac:dyDescent="0.25">
      <c r="A320" s="4" t="s">
        <v>362</v>
      </c>
      <c r="B320" s="4" t="s">
        <v>7</v>
      </c>
      <c r="C320" s="4" t="s">
        <v>32</v>
      </c>
      <c r="D320" s="12">
        <v>2536</v>
      </c>
      <c r="E320" s="12">
        <v>1966</v>
      </c>
      <c r="F320" s="13">
        <v>53002</v>
      </c>
      <c r="G320" s="14">
        <v>0.86</v>
      </c>
      <c r="H320" s="13">
        <v>39406</v>
      </c>
      <c r="I320" s="15">
        <f t="shared" si="12"/>
        <v>0.77523659305993686</v>
      </c>
      <c r="J320" s="13">
        <f t="shared" si="13"/>
        <v>41089.089905362773</v>
      </c>
      <c r="K320" s="13">
        <f t="shared" si="14"/>
        <v>45581.72</v>
      </c>
    </row>
    <row r="321" spans="1:11" x14ac:dyDescent="0.25">
      <c r="A321" s="4" t="s">
        <v>363</v>
      </c>
      <c r="B321" s="4" t="s">
        <v>7</v>
      </c>
      <c r="C321" s="4" t="s">
        <v>27</v>
      </c>
      <c r="D321" s="12">
        <v>630</v>
      </c>
      <c r="E321" s="12">
        <v>394</v>
      </c>
      <c r="F321" s="13">
        <v>7566</v>
      </c>
      <c r="G321" s="14">
        <v>0.75</v>
      </c>
      <c r="H321" s="13">
        <v>5301</v>
      </c>
      <c r="I321" s="15">
        <f t="shared" si="12"/>
        <v>0.6253968253968254</v>
      </c>
      <c r="J321" s="13">
        <f t="shared" si="13"/>
        <v>4731.7523809523809</v>
      </c>
      <c r="K321" s="13">
        <f t="shared" si="14"/>
        <v>5674.5</v>
      </c>
    </row>
    <row r="322" spans="1:11" x14ac:dyDescent="0.25">
      <c r="A322" s="4" t="s">
        <v>364</v>
      </c>
      <c r="B322" s="4" t="s">
        <v>7</v>
      </c>
      <c r="C322" s="4" t="s">
        <v>32</v>
      </c>
      <c r="D322" s="12">
        <v>2504</v>
      </c>
      <c r="E322" s="12">
        <v>1560</v>
      </c>
      <c r="F322" s="13">
        <v>12169</v>
      </c>
      <c r="G322" s="14">
        <v>0.71</v>
      </c>
      <c r="H322" s="13">
        <v>7465</v>
      </c>
      <c r="I322" s="15">
        <f t="shared" si="12"/>
        <v>0.6230031948881789</v>
      </c>
      <c r="J322" s="13">
        <f t="shared" si="13"/>
        <v>7581.3258785942489</v>
      </c>
      <c r="K322" s="13">
        <f t="shared" si="14"/>
        <v>8639.99</v>
      </c>
    </row>
    <row r="323" spans="1:11" x14ac:dyDescent="0.25">
      <c r="A323" s="4" t="s">
        <v>365</v>
      </c>
      <c r="B323" s="4" t="s">
        <v>7</v>
      </c>
      <c r="C323" s="4" t="s">
        <v>32</v>
      </c>
      <c r="D323" s="12">
        <v>3011</v>
      </c>
      <c r="E323" s="12">
        <v>2421</v>
      </c>
      <c r="F323" s="13">
        <v>50796</v>
      </c>
      <c r="G323" s="14">
        <v>0.98</v>
      </c>
      <c r="H323" s="13">
        <v>44807</v>
      </c>
      <c r="I323" s="15">
        <f t="shared" si="12"/>
        <v>0.80405181002989046</v>
      </c>
      <c r="J323" s="13">
        <f t="shared" si="13"/>
        <v>40842.615742278314</v>
      </c>
      <c r="K323" s="13">
        <f t="shared" si="14"/>
        <v>49780.08</v>
      </c>
    </row>
    <row r="324" spans="1:11" x14ac:dyDescent="0.25">
      <c r="A324" s="4" t="s">
        <v>366</v>
      </c>
      <c r="B324" s="4" t="s">
        <v>7</v>
      </c>
      <c r="C324" s="4" t="s">
        <v>32</v>
      </c>
      <c r="D324" s="12">
        <v>2037</v>
      </c>
      <c r="E324" s="12">
        <v>1375</v>
      </c>
      <c r="F324" s="13">
        <v>5317</v>
      </c>
      <c r="G324" s="14">
        <v>0.79</v>
      </c>
      <c r="H324" s="13">
        <v>3966</v>
      </c>
      <c r="I324" s="15">
        <f t="shared" si="12"/>
        <v>0.67501227295041732</v>
      </c>
      <c r="J324" s="13">
        <f t="shared" si="13"/>
        <v>3589.0402552773689</v>
      </c>
      <c r="K324" s="13">
        <f t="shared" si="14"/>
        <v>4200.43</v>
      </c>
    </row>
    <row r="325" spans="1:11" x14ac:dyDescent="0.25">
      <c r="A325" s="4" t="s">
        <v>367</v>
      </c>
      <c r="B325" s="4" t="s">
        <v>7</v>
      </c>
      <c r="C325" s="4" t="s">
        <v>32</v>
      </c>
      <c r="D325" s="12">
        <v>2122</v>
      </c>
      <c r="E325" s="12">
        <v>1131</v>
      </c>
      <c r="F325" s="13">
        <v>9400</v>
      </c>
      <c r="G325" s="14">
        <v>0.62</v>
      </c>
      <c r="H325" s="13">
        <v>5609</v>
      </c>
      <c r="I325" s="15">
        <f t="shared" ref="I325:I388" si="15">IF(D325&gt;0,MIN(E325/D325,1),0)</f>
        <v>0.53298774740810551</v>
      </c>
      <c r="J325" s="13">
        <f t="shared" ref="J325:J388" si="16">F325*I325</f>
        <v>5010.0848256361915</v>
      </c>
      <c r="K325" s="13">
        <f t="shared" ref="K325:K388" si="17">F325*G325</f>
        <v>5828</v>
      </c>
    </row>
    <row r="326" spans="1:11" x14ac:dyDescent="0.25">
      <c r="A326" s="4" t="s">
        <v>368</v>
      </c>
      <c r="B326" s="4" t="s">
        <v>7</v>
      </c>
      <c r="C326" s="4" t="s">
        <v>32</v>
      </c>
      <c r="D326" s="12">
        <v>2776</v>
      </c>
      <c r="E326" s="12">
        <v>1430</v>
      </c>
      <c r="F326" s="13">
        <v>54993</v>
      </c>
      <c r="G326" s="14">
        <v>0.65</v>
      </c>
      <c r="H326" s="13">
        <v>29888</v>
      </c>
      <c r="I326" s="15">
        <f t="shared" si="15"/>
        <v>0.51512968299711814</v>
      </c>
      <c r="J326" s="13">
        <f t="shared" si="16"/>
        <v>28328.526657060516</v>
      </c>
      <c r="K326" s="13">
        <f t="shared" si="17"/>
        <v>35745.450000000004</v>
      </c>
    </row>
    <row r="327" spans="1:11" x14ac:dyDescent="0.25">
      <c r="A327" s="4" t="s">
        <v>369</v>
      </c>
      <c r="B327" s="4" t="s">
        <v>7</v>
      </c>
      <c r="C327" s="4" t="s">
        <v>45</v>
      </c>
      <c r="D327" s="12">
        <v>28296</v>
      </c>
      <c r="E327" s="12">
        <v>20139</v>
      </c>
      <c r="F327" s="13">
        <v>32540</v>
      </c>
      <c r="G327" s="14">
        <v>0.77</v>
      </c>
      <c r="H327" s="13">
        <v>24795</v>
      </c>
      <c r="I327" s="15">
        <f t="shared" si="15"/>
        <v>0.71172603901611531</v>
      </c>
      <c r="J327" s="13">
        <f t="shared" si="16"/>
        <v>23159.565309584392</v>
      </c>
      <c r="K327" s="13">
        <f t="shared" si="17"/>
        <v>25055.8</v>
      </c>
    </row>
    <row r="328" spans="1:11" x14ac:dyDescent="0.25">
      <c r="A328" s="4" t="s">
        <v>370</v>
      </c>
      <c r="B328" s="4" t="s">
        <v>7</v>
      </c>
      <c r="C328" s="4" t="s">
        <v>237</v>
      </c>
      <c r="D328" s="12">
        <v>70</v>
      </c>
      <c r="E328" s="12">
        <v>60</v>
      </c>
      <c r="F328" s="13">
        <v>62369</v>
      </c>
      <c r="G328" s="14">
        <v>0.95</v>
      </c>
      <c r="H328" s="13">
        <v>53493</v>
      </c>
      <c r="I328" s="15">
        <f t="shared" si="15"/>
        <v>0.8571428571428571</v>
      </c>
      <c r="J328" s="13">
        <f t="shared" si="16"/>
        <v>53459.142857142855</v>
      </c>
      <c r="K328" s="13">
        <f t="shared" si="17"/>
        <v>59250.549999999996</v>
      </c>
    </row>
    <row r="329" spans="1:11" x14ac:dyDescent="0.25">
      <c r="A329" s="4" t="s">
        <v>371</v>
      </c>
      <c r="B329" s="4" t="s">
        <v>7</v>
      </c>
      <c r="C329" s="4" t="s">
        <v>237</v>
      </c>
      <c r="D329" s="12">
        <v>1</v>
      </c>
      <c r="E329" s="12">
        <v>1</v>
      </c>
      <c r="F329" s="13">
        <v>125353</v>
      </c>
      <c r="G329" s="14">
        <v>1</v>
      </c>
      <c r="H329" s="13">
        <v>124479</v>
      </c>
      <c r="I329" s="15">
        <f t="shared" si="15"/>
        <v>1</v>
      </c>
      <c r="J329" s="13">
        <f t="shared" si="16"/>
        <v>125353</v>
      </c>
      <c r="K329" s="13">
        <f t="shared" si="17"/>
        <v>125353</v>
      </c>
    </row>
    <row r="330" spans="1:11" x14ac:dyDescent="0.25">
      <c r="A330" s="4" t="s">
        <v>372</v>
      </c>
      <c r="B330" s="4" t="s">
        <v>7</v>
      </c>
      <c r="C330" s="4" t="s">
        <v>237</v>
      </c>
      <c r="D330" s="12">
        <v>80</v>
      </c>
      <c r="E330" s="12">
        <v>66</v>
      </c>
      <c r="F330" s="13">
        <v>87780</v>
      </c>
      <c r="G330" s="14">
        <v>1</v>
      </c>
      <c r="H330" s="13">
        <v>73525</v>
      </c>
      <c r="I330" s="15">
        <f t="shared" si="15"/>
        <v>0.82499999999999996</v>
      </c>
      <c r="J330" s="13">
        <f t="shared" si="16"/>
        <v>72418.5</v>
      </c>
      <c r="K330" s="13">
        <f t="shared" si="17"/>
        <v>87780</v>
      </c>
    </row>
    <row r="331" spans="1:11" x14ac:dyDescent="0.25">
      <c r="A331" s="4" t="s">
        <v>373</v>
      </c>
      <c r="B331" s="4" t="s">
        <v>7</v>
      </c>
      <c r="C331" s="4" t="s">
        <v>237</v>
      </c>
      <c r="D331" s="12">
        <v>38</v>
      </c>
      <c r="E331" s="12">
        <v>21</v>
      </c>
      <c r="F331" s="13">
        <v>29114</v>
      </c>
      <c r="G331" s="14">
        <v>0.66</v>
      </c>
      <c r="H331" s="13">
        <v>16754</v>
      </c>
      <c r="I331" s="15">
        <f t="shared" si="15"/>
        <v>0.55263157894736847</v>
      </c>
      <c r="J331" s="13">
        <f t="shared" si="16"/>
        <v>16089.315789473685</v>
      </c>
      <c r="K331" s="13">
        <f t="shared" si="17"/>
        <v>19215.240000000002</v>
      </c>
    </row>
    <row r="332" spans="1:11" x14ac:dyDescent="0.25">
      <c r="A332" s="4" t="s">
        <v>374</v>
      </c>
      <c r="B332" s="4" t="s">
        <v>7</v>
      </c>
      <c r="C332" s="4" t="s">
        <v>32</v>
      </c>
      <c r="D332" s="12">
        <v>2317</v>
      </c>
      <c r="E332" s="12">
        <v>1992</v>
      </c>
      <c r="F332" s="13">
        <v>12998</v>
      </c>
      <c r="G332" s="14">
        <v>0.9</v>
      </c>
      <c r="H332" s="13">
        <v>11521</v>
      </c>
      <c r="I332" s="15">
        <f t="shared" si="15"/>
        <v>0.85973241260250322</v>
      </c>
      <c r="J332" s="13">
        <f t="shared" si="16"/>
        <v>11174.801899007336</v>
      </c>
      <c r="K332" s="13">
        <f t="shared" si="17"/>
        <v>11698.2</v>
      </c>
    </row>
    <row r="333" spans="1:11" x14ac:dyDescent="0.25">
      <c r="A333" s="4" t="s">
        <v>375</v>
      </c>
      <c r="B333" s="4" t="s">
        <v>7</v>
      </c>
      <c r="C333" s="4" t="s">
        <v>237</v>
      </c>
      <c r="D333" s="12">
        <v>2</v>
      </c>
      <c r="E333" s="12">
        <v>1</v>
      </c>
      <c r="F333" s="13">
        <v>177592</v>
      </c>
      <c r="G333" s="14">
        <v>0.63</v>
      </c>
      <c r="H333" s="13">
        <v>91028</v>
      </c>
      <c r="I333" s="15">
        <f t="shared" si="15"/>
        <v>0.5</v>
      </c>
      <c r="J333" s="13">
        <f t="shared" si="16"/>
        <v>88796</v>
      </c>
      <c r="K333" s="13">
        <f t="shared" si="17"/>
        <v>111882.96</v>
      </c>
    </row>
    <row r="334" spans="1:11" x14ac:dyDescent="0.25">
      <c r="A334" s="4" t="s">
        <v>376</v>
      </c>
      <c r="B334" s="4" t="s">
        <v>7</v>
      </c>
      <c r="C334" s="4" t="s">
        <v>45</v>
      </c>
      <c r="D334" s="12">
        <v>27075</v>
      </c>
      <c r="E334" s="12">
        <v>18243</v>
      </c>
      <c r="F334" s="13">
        <v>30595</v>
      </c>
      <c r="G334" s="14">
        <v>0.86</v>
      </c>
      <c r="H334" s="13">
        <v>20566</v>
      </c>
      <c r="I334" s="15">
        <f t="shared" si="15"/>
        <v>0.67379501385041551</v>
      </c>
      <c r="J334" s="13">
        <f t="shared" si="16"/>
        <v>20614.758448753462</v>
      </c>
      <c r="K334" s="13">
        <f t="shared" si="17"/>
        <v>26311.7</v>
      </c>
    </row>
    <row r="335" spans="1:11" x14ac:dyDescent="0.25">
      <c r="A335" s="4" t="s">
        <v>377</v>
      </c>
      <c r="B335" s="4" t="s">
        <v>7</v>
      </c>
      <c r="C335" s="4" t="s">
        <v>32</v>
      </c>
      <c r="D335" s="12">
        <v>3180</v>
      </c>
      <c r="E335" s="12">
        <v>2538</v>
      </c>
      <c r="F335" s="13">
        <v>9572</v>
      </c>
      <c r="G335" s="14">
        <v>0.92</v>
      </c>
      <c r="H335" s="13">
        <v>8071</v>
      </c>
      <c r="I335" s="15">
        <f t="shared" si="15"/>
        <v>0.79811320754716986</v>
      </c>
      <c r="J335" s="13">
        <f t="shared" si="16"/>
        <v>7639.5396226415096</v>
      </c>
      <c r="K335" s="13">
        <f t="shared" si="17"/>
        <v>8806.24</v>
      </c>
    </row>
    <row r="336" spans="1:11" x14ac:dyDescent="0.25">
      <c r="A336" s="4" t="s">
        <v>378</v>
      </c>
      <c r="B336" s="4" t="s">
        <v>7</v>
      </c>
      <c r="C336" s="4" t="s">
        <v>45</v>
      </c>
      <c r="D336" s="12">
        <v>15730</v>
      </c>
      <c r="E336" s="12">
        <v>14145</v>
      </c>
      <c r="F336" s="13">
        <v>16516</v>
      </c>
      <c r="G336" s="14">
        <v>1</v>
      </c>
      <c r="H336" s="13">
        <v>15249</v>
      </c>
      <c r="I336" s="15">
        <f t="shared" si="15"/>
        <v>0.89923712650985377</v>
      </c>
      <c r="J336" s="13">
        <f t="shared" si="16"/>
        <v>14851.800381436746</v>
      </c>
      <c r="K336" s="13">
        <f t="shared" si="17"/>
        <v>16516</v>
      </c>
    </row>
    <row r="337" spans="1:11" x14ac:dyDescent="0.25">
      <c r="A337" s="4" t="s">
        <v>379</v>
      </c>
      <c r="B337" s="4" t="s">
        <v>7</v>
      </c>
      <c r="C337" s="4" t="s">
        <v>32</v>
      </c>
      <c r="D337" s="12">
        <v>2364</v>
      </c>
      <c r="E337" s="12">
        <v>1614</v>
      </c>
      <c r="F337" s="13">
        <v>54136</v>
      </c>
      <c r="G337" s="14">
        <v>0.83</v>
      </c>
      <c r="H337" s="13">
        <v>37696</v>
      </c>
      <c r="I337" s="15">
        <f t="shared" si="15"/>
        <v>0.68274111675126903</v>
      </c>
      <c r="J337" s="13">
        <f t="shared" si="16"/>
        <v>36960.873096446703</v>
      </c>
      <c r="K337" s="13">
        <f t="shared" si="17"/>
        <v>44932.88</v>
      </c>
    </row>
    <row r="338" spans="1:11" x14ac:dyDescent="0.25">
      <c r="A338" s="4" t="s">
        <v>380</v>
      </c>
      <c r="B338" s="4" t="s">
        <v>7</v>
      </c>
      <c r="C338" s="4" t="s">
        <v>237</v>
      </c>
      <c r="D338" s="12">
        <v>2</v>
      </c>
      <c r="E338" s="12">
        <v>1</v>
      </c>
      <c r="F338" s="13">
        <v>190891</v>
      </c>
      <c r="G338" s="14">
        <v>0.6</v>
      </c>
      <c r="H338" s="13">
        <v>99580</v>
      </c>
      <c r="I338" s="15">
        <f t="shared" si="15"/>
        <v>0.5</v>
      </c>
      <c r="J338" s="13">
        <f t="shared" si="16"/>
        <v>95445.5</v>
      </c>
      <c r="K338" s="13">
        <f t="shared" si="17"/>
        <v>114534.59999999999</v>
      </c>
    </row>
    <row r="339" spans="1:11" x14ac:dyDescent="0.25">
      <c r="A339" s="4" t="s">
        <v>381</v>
      </c>
      <c r="B339" s="4" t="s">
        <v>7</v>
      </c>
      <c r="C339" s="4" t="s">
        <v>32</v>
      </c>
      <c r="D339" s="12">
        <v>633</v>
      </c>
      <c r="E339" s="12">
        <v>454</v>
      </c>
      <c r="F339" s="13">
        <v>1703</v>
      </c>
      <c r="G339" s="14">
        <v>0.81</v>
      </c>
      <c r="H339" s="13">
        <v>1238</v>
      </c>
      <c r="I339" s="15">
        <f t="shared" si="15"/>
        <v>0.71721958925750395</v>
      </c>
      <c r="J339" s="13">
        <f t="shared" si="16"/>
        <v>1221.4249605055293</v>
      </c>
      <c r="K339" s="13">
        <f t="shared" si="17"/>
        <v>1379.43</v>
      </c>
    </row>
    <row r="340" spans="1:11" x14ac:dyDescent="0.25">
      <c r="A340" s="4" t="s">
        <v>382</v>
      </c>
      <c r="B340" s="4" t="s">
        <v>7</v>
      </c>
      <c r="C340" s="4" t="s">
        <v>32</v>
      </c>
      <c r="D340" s="12">
        <v>975</v>
      </c>
      <c r="E340" s="12">
        <v>855</v>
      </c>
      <c r="F340" s="13">
        <v>22952</v>
      </c>
      <c r="G340" s="14">
        <v>1</v>
      </c>
      <c r="H340" s="13">
        <v>21745</v>
      </c>
      <c r="I340" s="15">
        <f t="shared" si="15"/>
        <v>0.87692307692307692</v>
      </c>
      <c r="J340" s="13">
        <f t="shared" si="16"/>
        <v>20127.138461538463</v>
      </c>
      <c r="K340" s="13">
        <f t="shared" si="17"/>
        <v>22952</v>
      </c>
    </row>
    <row r="341" spans="1:11" x14ac:dyDescent="0.25">
      <c r="A341" s="4" t="s">
        <v>383</v>
      </c>
      <c r="B341" s="4" t="s">
        <v>7</v>
      </c>
      <c r="C341" s="4" t="s">
        <v>240</v>
      </c>
      <c r="D341" s="12">
        <v>447</v>
      </c>
      <c r="E341" s="12">
        <v>307</v>
      </c>
      <c r="F341" s="13">
        <v>21353</v>
      </c>
      <c r="G341" s="14">
        <v>0.74</v>
      </c>
      <c r="H341" s="13">
        <v>15457</v>
      </c>
      <c r="I341" s="15">
        <f t="shared" si="15"/>
        <v>0.68680089485458617</v>
      </c>
      <c r="J341" s="13">
        <f t="shared" si="16"/>
        <v>14665.259507829978</v>
      </c>
      <c r="K341" s="13">
        <f t="shared" si="17"/>
        <v>15801.22</v>
      </c>
    </row>
    <row r="342" spans="1:11" x14ac:dyDescent="0.25">
      <c r="A342" s="4" t="s">
        <v>384</v>
      </c>
      <c r="B342" s="4" t="s">
        <v>7</v>
      </c>
      <c r="C342" s="4" t="s">
        <v>45</v>
      </c>
      <c r="D342" s="12">
        <v>12192</v>
      </c>
      <c r="E342" s="12">
        <v>7541</v>
      </c>
      <c r="F342" s="13">
        <v>15484</v>
      </c>
      <c r="G342" s="14">
        <v>0.72</v>
      </c>
      <c r="H342" s="13">
        <v>9256</v>
      </c>
      <c r="I342" s="15">
        <f t="shared" si="15"/>
        <v>0.61852034120734911</v>
      </c>
      <c r="J342" s="13">
        <f t="shared" si="16"/>
        <v>9577.1689632545931</v>
      </c>
      <c r="K342" s="13">
        <f t="shared" si="17"/>
        <v>11148.48</v>
      </c>
    </row>
    <row r="343" spans="1:11" x14ac:dyDescent="0.25">
      <c r="A343" s="4" t="s">
        <v>385</v>
      </c>
      <c r="B343" s="4" t="s">
        <v>7</v>
      </c>
      <c r="C343" s="4" t="s">
        <v>237</v>
      </c>
      <c r="D343" s="12">
        <v>1</v>
      </c>
      <c r="E343" s="12">
        <v>1</v>
      </c>
      <c r="F343" s="13">
        <v>75205</v>
      </c>
      <c r="G343" s="14">
        <v>1</v>
      </c>
      <c r="H343" s="13">
        <v>71475</v>
      </c>
      <c r="I343" s="15">
        <f t="shared" si="15"/>
        <v>1</v>
      </c>
      <c r="J343" s="13">
        <f t="shared" si="16"/>
        <v>75205</v>
      </c>
      <c r="K343" s="13">
        <f t="shared" si="17"/>
        <v>75205</v>
      </c>
    </row>
    <row r="344" spans="1:11" x14ac:dyDescent="0.25">
      <c r="A344" s="4" t="s">
        <v>386</v>
      </c>
      <c r="B344" s="4" t="s">
        <v>7</v>
      </c>
      <c r="C344" s="4" t="s">
        <v>32</v>
      </c>
      <c r="D344" s="12">
        <v>1025</v>
      </c>
      <c r="E344" s="12">
        <v>726</v>
      </c>
      <c r="F344" s="13">
        <v>19485</v>
      </c>
      <c r="G344" s="14">
        <v>0.89</v>
      </c>
      <c r="H344" s="13">
        <v>13859</v>
      </c>
      <c r="I344" s="15">
        <f t="shared" si="15"/>
        <v>0.70829268292682923</v>
      </c>
      <c r="J344" s="13">
        <f t="shared" si="16"/>
        <v>13801.082926829267</v>
      </c>
      <c r="K344" s="13">
        <f t="shared" si="17"/>
        <v>17341.650000000001</v>
      </c>
    </row>
    <row r="345" spans="1:11" x14ac:dyDescent="0.25">
      <c r="A345" s="4" t="s">
        <v>387</v>
      </c>
      <c r="B345" s="4" t="s">
        <v>7</v>
      </c>
      <c r="C345" s="4" t="s">
        <v>237</v>
      </c>
      <c r="D345" s="12">
        <v>1</v>
      </c>
      <c r="E345" s="12">
        <v>1</v>
      </c>
      <c r="F345" s="13">
        <v>114011</v>
      </c>
      <c r="G345" s="14">
        <v>1</v>
      </c>
      <c r="H345" s="13">
        <v>119487</v>
      </c>
      <c r="I345" s="15">
        <f t="shared" si="15"/>
        <v>1</v>
      </c>
      <c r="J345" s="13">
        <f t="shared" si="16"/>
        <v>114011</v>
      </c>
      <c r="K345" s="13">
        <f t="shared" si="17"/>
        <v>114011</v>
      </c>
    </row>
    <row r="346" spans="1:11" x14ac:dyDescent="0.25">
      <c r="A346" s="4" t="s">
        <v>388</v>
      </c>
      <c r="B346" s="4" t="s">
        <v>7</v>
      </c>
      <c r="C346" s="4" t="s">
        <v>45</v>
      </c>
      <c r="D346" s="12">
        <v>10467</v>
      </c>
      <c r="E346" s="12">
        <v>7003</v>
      </c>
      <c r="F346" s="13">
        <v>12560</v>
      </c>
      <c r="G346" s="14">
        <v>0.78</v>
      </c>
      <c r="H346" s="13">
        <v>7987</v>
      </c>
      <c r="I346" s="15">
        <f t="shared" si="15"/>
        <v>0.66905512563294167</v>
      </c>
      <c r="J346" s="13">
        <f t="shared" si="16"/>
        <v>8403.3323779497478</v>
      </c>
      <c r="K346" s="13">
        <f t="shared" si="17"/>
        <v>9796.8000000000011</v>
      </c>
    </row>
    <row r="347" spans="1:11" x14ac:dyDescent="0.25">
      <c r="A347" s="4" t="s">
        <v>389</v>
      </c>
      <c r="B347" s="4" t="s">
        <v>7</v>
      </c>
      <c r="C347" s="4" t="s">
        <v>237</v>
      </c>
      <c r="D347" s="12">
        <v>2</v>
      </c>
      <c r="E347" s="12">
        <v>1</v>
      </c>
      <c r="F347" s="13">
        <v>265903</v>
      </c>
      <c r="G347" s="14">
        <v>0.7</v>
      </c>
      <c r="H347" s="13">
        <v>143524</v>
      </c>
      <c r="I347" s="15">
        <f t="shared" si="15"/>
        <v>0.5</v>
      </c>
      <c r="J347" s="13">
        <f t="shared" si="16"/>
        <v>132951.5</v>
      </c>
      <c r="K347" s="13">
        <f t="shared" si="17"/>
        <v>186132.09999999998</v>
      </c>
    </row>
    <row r="348" spans="1:11" x14ac:dyDescent="0.25">
      <c r="A348" s="4" t="s">
        <v>390</v>
      </c>
      <c r="B348" s="4" t="s">
        <v>7</v>
      </c>
      <c r="C348" s="4" t="s">
        <v>237</v>
      </c>
      <c r="D348" s="12">
        <v>2</v>
      </c>
      <c r="E348" s="12">
        <v>1</v>
      </c>
      <c r="F348" s="13">
        <v>229416</v>
      </c>
      <c r="G348" s="14">
        <v>0.62</v>
      </c>
      <c r="H348" s="13">
        <v>111587</v>
      </c>
      <c r="I348" s="15">
        <f t="shared" si="15"/>
        <v>0.5</v>
      </c>
      <c r="J348" s="13">
        <f t="shared" si="16"/>
        <v>114708</v>
      </c>
      <c r="K348" s="13">
        <f t="shared" si="17"/>
        <v>142237.92000000001</v>
      </c>
    </row>
    <row r="349" spans="1:11" x14ac:dyDescent="0.25">
      <c r="A349" s="4" t="s">
        <v>391</v>
      </c>
      <c r="B349" s="4" t="s">
        <v>7</v>
      </c>
      <c r="C349" s="4" t="s">
        <v>27</v>
      </c>
      <c r="D349" s="12">
        <v>1209</v>
      </c>
      <c r="E349" s="12">
        <v>988</v>
      </c>
      <c r="F349" s="13">
        <v>11884</v>
      </c>
      <c r="G349" s="14">
        <v>0.88</v>
      </c>
      <c r="H349" s="13">
        <v>9652</v>
      </c>
      <c r="I349" s="15">
        <f t="shared" si="15"/>
        <v>0.81720430107526887</v>
      </c>
      <c r="J349" s="13">
        <f t="shared" si="16"/>
        <v>9711.6559139784949</v>
      </c>
      <c r="K349" s="13">
        <f t="shared" si="17"/>
        <v>10457.92</v>
      </c>
    </row>
    <row r="350" spans="1:11" x14ac:dyDescent="0.25">
      <c r="A350" s="4" t="s">
        <v>392</v>
      </c>
      <c r="B350" s="4" t="s">
        <v>7</v>
      </c>
      <c r="C350" s="4" t="s">
        <v>27</v>
      </c>
      <c r="D350" s="12">
        <v>495</v>
      </c>
      <c r="E350" s="12">
        <v>294</v>
      </c>
      <c r="F350" s="13">
        <v>5222</v>
      </c>
      <c r="G350" s="14">
        <v>0.79</v>
      </c>
      <c r="H350" s="13">
        <v>3484</v>
      </c>
      <c r="I350" s="15">
        <f t="shared" si="15"/>
        <v>0.59393939393939399</v>
      </c>
      <c r="J350" s="13">
        <f t="shared" si="16"/>
        <v>3101.5515151515156</v>
      </c>
      <c r="K350" s="13">
        <f t="shared" si="17"/>
        <v>4125.38</v>
      </c>
    </row>
    <row r="351" spans="1:11" x14ac:dyDescent="0.25">
      <c r="A351" s="4" t="s">
        <v>393</v>
      </c>
      <c r="B351" s="4" t="s">
        <v>7</v>
      </c>
      <c r="C351" s="4" t="s">
        <v>27</v>
      </c>
      <c r="D351" s="12">
        <v>537</v>
      </c>
      <c r="E351" s="12">
        <v>441</v>
      </c>
      <c r="F351" s="13">
        <v>5230</v>
      </c>
      <c r="G351" s="14">
        <v>0.94</v>
      </c>
      <c r="H351" s="13">
        <v>4283</v>
      </c>
      <c r="I351" s="15">
        <f t="shared" si="15"/>
        <v>0.82122905027932958</v>
      </c>
      <c r="J351" s="13">
        <f t="shared" si="16"/>
        <v>4295.0279329608938</v>
      </c>
      <c r="K351" s="13">
        <f t="shared" si="17"/>
        <v>4916.2</v>
      </c>
    </row>
    <row r="352" spans="1:11" x14ac:dyDescent="0.25">
      <c r="A352" s="4" t="s">
        <v>394</v>
      </c>
      <c r="B352" s="4" t="s">
        <v>7</v>
      </c>
      <c r="C352" s="4" t="s">
        <v>240</v>
      </c>
      <c r="D352" s="12">
        <v>1056</v>
      </c>
      <c r="E352" s="12">
        <v>528</v>
      </c>
      <c r="F352" s="13">
        <v>74554</v>
      </c>
      <c r="G352" s="14">
        <v>0.68</v>
      </c>
      <c r="H352" s="13">
        <v>40597</v>
      </c>
      <c r="I352" s="15">
        <f t="shared" si="15"/>
        <v>0.5</v>
      </c>
      <c r="J352" s="13">
        <f t="shared" si="16"/>
        <v>37277</v>
      </c>
      <c r="K352" s="13">
        <f t="shared" si="17"/>
        <v>50696.72</v>
      </c>
    </row>
    <row r="353" spans="1:11" x14ac:dyDescent="0.25">
      <c r="A353" s="4" t="s">
        <v>395</v>
      </c>
      <c r="B353" s="4" t="s">
        <v>7</v>
      </c>
      <c r="C353" s="4" t="s">
        <v>27</v>
      </c>
      <c r="D353" s="12">
        <v>1562</v>
      </c>
      <c r="E353" s="12">
        <v>1188</v>
      </c>
      <c r="F353" s="13">
        <v>13308</v>
      </c>
      <c r="G353" s="14">
        <v>0.93</v>
      </c>
      <c r="H353" s="13">
        <v>10778</v>
      </c>
      <c r="I353" s="15">
        <f t="shared" si="15"/>
        <v>0.76056338028169013</v>
      </c>
      <c r="J353" s="13">
        <f t="shared" si="16"/>
        <v>10121.577464788732</v>
      </c>
      <c r="K353" s="13">
        <f t="shared" si="17"/>
        <v>12376.44</v>
      </c>
    </row>
    <row r="354" spans="1:11" x14ac:dyDescent="0.25">
      <c r="A354" s="4" t="s">
        <v>396</v>
      </c>
      <c r="B354" s="4" t="s">
        <v>7</v>
      </c>
      <c r="C354" s="4" t="s">
        <v>32</v>
      </c>
      <c r="D354" s="12">
        <v>2144</v>
      </c>
      <c r="E354" s="12">
        <v>1920</v>
      </c>
      <c r="F354" s="13">
        <v>47104</v>
      </c>
      <c r="G354" s="14">
        <v>1</v>
      </c>
      <c r="H354" s="13">
        <v>40342</v>
      </c>
      <c r="I354" s="15">
        <f t="shared" si="15"/>
        <v>0.89552238805970152</v>
      </c>
      <c r="J354" s="13">
        <f t="shared" si="16"/>
        <v>42182.686567164179</v>
      </c>
      <c r="K354" s="13">
        <f t="shared" si="17"/>
        <v>47104</v>
      </c>
    </row>
    <row r="355" spans="1:11" x14ac:dyDescent="0.25">
      <c r="A355" s="4" t="s">
        <v>397</v>
      </c>
      <c r="B355" s="4" t="s">
        <v>7</v>
      </c>
      <c r="C355" s="4" t="s">
        <v>237</v>
      </c>
      <c r="D355" s="12">
        <v>1</v>
      </c>
      <c r="E355" s="12">
        <v>1</v>
      </c>
      <c r="F355" s="13">
        <v>130478</v>
      </c>
      <c r="G355" s="14">
        <v>1</v>
      </c>
      <c r="H355" s="13">
        <v>135903</v>
      </c>
      <c r="I355" s="15">
        <f t="shared" si="15"/>
        <v>1</v>
      </c>
      <c r="J355" s="13">
        <f t="shared" si="16"/>
        <v>130478</v>
      </c>
      <c r="K355" s="13">
        <f t="shared" si="17"/>
        <v>130478</v>
      </c>
    </row>
    <row r="356" spans="1:11" x14ac:dyDescent="0.25">
      <c r="A356" s="4" t="s">
        <v>398</v>
      </c>
      <c r="B356" s="4" t="s">
        <v>7</v>
      </c>
      <c r="C356" s="4" t="s">
        <v>240</v>
      </c>
      <c r="D356" s="12">
        <v>484</v>
      </c>
      <c r="E356" s="12">
        <v>252</v>
      </c>
      <c r="F356" s="13">
        <v>30124</v>
      </c>
      <c r="G356" s="14">
        <v>0.61</v>
      </c>
      <c r="H356" s="13">
        <v>16664</v>
      </c>
      <c r="I356" s="15">
        <f t="shared" si="15"/>
        <v>0.52066115702479343</v>
      </c>
      <c r="J356" s="13">
        <f t="shared" si="16"/>
        <v>15684.396694214878</v>
      </c>
      <c r="K356" s="13">
        <f t="shared" si="17"/>
        <v>18375.64</v>
      </c>
    </row>
    <row r="357" spans="1:11" x14ac:dyDescent="0.25">
      <c r="A357" s="4" t="s">
        <v>399</v>
      </c>
      <c r="B357" s="4" t="s">
        <v>7</v>
      </c>
      <c r="C357" s="4" t="s">
        <v>32</v>
      </c>
      <c r="D357" s="12">
        <v>784</v>
      </c>
      <c r="E357" s="12">
        <v>533</v>
      </c>
      <c r="F357" s="13">
        <v>18236</v>
      </c>
      <c r="G357" s="14">
        <v>0.8</v>
      </c>
      <c r="H357" s="13">
        <v>12191</v>
      </c>
      <c r="I357" s="15">
        <f t="shared" si="15"/>
        <v>0.67984693877551017</v>
      </c>
      <c r="J357" s="13">
        <f t="shared" si="16"/>
        <v>12397.688775510203</v>
      </c>
      <c r="K357" s="13">
        <f t="shared" si="17"/>
        <v>14588.800000000001</v>
      </c>
    </row>
    <row r="358" spans="1:11" x14ac:dyDescent="0.25">
      <c r="A358" s="4" t="s">
        <v>400</v>
      </c>
      <c r="B358" s="4" t="s">
        <v>7</v>
      </c>
      <c r="C358" s="4" t="s">
        <v>237</v>
      </c>
      <c r="D358" s="12">
        <v>1</v>
      </c>
      <c r="E358" s="12">
        <v>1</v>
      </c>
      <c r="F358" s="13">
        <v>77432</v>
      </c>
      <c r="G358" s="14">
        <v>1</v>
      </c>
      <c r="H358" s="13">
        <v>73599</v>
      </c>
      <c r="I358" s="15">
        <f t="shared" si="15"/>
        <v>1</v>
      </c>
      <c r="J358" s="13">
        <f t="shared" si="16"/>
        <v>77432</v>
      </c>
      <c r="K358" s="13">
        <f t="shared" si="17"/>
        <v>77432</v>
      </c>
    </row>
    <row r="359" spans="1:11" x14ac:dyDescent="0.25">
      <c r="A359" s="4" t="s">
        <v>401</v>
      </c>
      <c r="B359" s="4" t="s">
        <v>7</v>
      </c>
      <c r="C359" s="4" t="s">
        <v>237</v>
      </c>
      <c r="D359" s="12">
        <v>2</v>
      </c>
      <c r="E359" s="12">
        <v>1</v>
      </c>
      <c r="F359" s="13">
        <v>135751</v>
      </c>
      <c r="G359" s="14">
        <v>0.64</v>
      </c>
      <c r="H359" s="13">
        <v>65255</v>
      </c>
      <c r="I359" s="15">
        <f t="shared" si="15"/>
        <v>0.5</v>
      </c>
      <c r="J359" s="13">
        <f t="shared" si="16"/>
        <v>67875.5</v>
      </c>
      <c r="K359" s="13">
        <f t="shared" si="17"/>
        <v>86880.639999999999</v>
      </c>
    </row>
    <row r="360" spans="1:11" x14ac:dyDescent="0.25">
      <c r="A360" s="4" t="s">
        <v>402</v>
      </c>
      <c r="B360" s="4" t="s">
        <v>7</v>
      </c>
      <c r="C360" s="4" t="s">
        <v>32</v>
      </c>
      <c r="D360" s="12">
        <v>1798</v>
      </c>
      <c r="E360" s="12">
        <v>1297</v>
      </c>
      <c r="F360" s="13">
        <v>40904</v>
      </c>
      <c r="G360" s="14">
        <v>0.82</v>
      </c>
      <c r="H360" s="13">
        <v>30615</v>
      </c>
      <c r="I360" s="15">
        <f t="shared" si="15"/>
        <v>0.72135706340378203</v>
      </c>
      <c r="J360" s="13">
        <f t="shared" si="16"/>
        <v>29506.389321468301</v>
      </c>
      <c r="K360" s="13">
        <f t="shared" si="17"/>
        <v>33541.279999999999</v>
      </c>
    </row>
    <row r="361" spans="1:11" x14ac:dyDescent="0.25">
      <c r="A361" s="4" t="s">
        <v>403</v>
      </c>
      <c r="B361" s="4" t="s">
        <v>7</v>
      </c>
      <c r="C361" s="4" t="s">
        <v>237</v>
      </c>
      <c r="D361" s="12">
        <v>56</v>
      </c>
      <c r="E361" s="12">
        <v>50</v>
      </c>
      <c r="F361" s="13">
        <v>48168</v>
      </c>
      <c r="G361" s="14">
        <v>1</v>
      </c>
      <c r="H361" s="13">
        <v>45832</v>
      </c>
      <c r="I361" s="15">
        <f t="shared" si="15"/>
        <v>0.8928571428571429</v>
      </c>
      <c r="J361" s="13">
        <f t="shared" si="16"/>
        <v>43007.142857142862</v>
      </c>
      <c r="K361" s="13">
        <f t="shared" si="17"/>
        <v>48168</v>
      </c>
    </row>
    <row r="362" spans="1:11" x14ac:dyDescent="0.25">
      <c r="A362" s="4" t="s">
        <v>404</v>
      </c>
      <c r="B362" s="4" t="s">
        <v>7</v>
      </c>
      <c r="C362" s="4" t="s">
        <v>45</v>
      </c>
      <c r="D362" s="12">
        <v>22154</v>
      </c>
      <c r="E362" s="12">
        <v>10391</v>
      </c>
      <c r="F362" s="13">
        <v>20825</v>
      </c>
      <c r="G362" s="14">
        <v>0.56999999999999995</v>
      </c>
      <c r="H362" s="13">
        <v>9260</v>
      </c>
      <c r="I362" s="15">
        <f t="shared" si="15"/>
        <v>0.46903493725738016</v>
      </c>
      <c r="J362" s="13">
        <f t="shared" si="16"/>
        <v>9767.6525683849413</v>
      </c>
      <c r="K362" s="13">
        <f t="shared" si="17"/>
        <v>11870.249999999998</v>
      </c>
    </row>
    <row r="363" spans="1:11" x14ac:dyDescent="0.25">
      <c r="A363" s="4" t="s">
        <v>405</v>
      </c>
      <c r="B363" s="4" t="s">
        <v>7</v>
      </c>
      <c r="C363" s="4" t="s">
        <v>45</v>
      </c>
      <c r="D363" s="12">
        <v>15638</v>
      </c>
      <c r="E363" s="12">
        <v>12580</v>
      </c>
      <c r="F363" s="13">
        <v>21893</v>
      </c>
      <c r="G363" s="14">
        <v>0.89</v>
      </c>
      <c r="H363" s="13">
        <v>16677</v>
      </c>
      <c r="I363" s="15">
        <f t="shared" si="15"/>
        <v>0.80445069702007932</v>
      </c>
      <c r="J363" s="13">
        <f t="shared" si="16"/>
        <v>17611.839109860597</v>
      </c>
      <c r="K363" s="13">
        <f t="shared" si="17"/>
        <v>19484.77</v>
      </c>
    </row>
    <row r="364" spans="1:11" x14ac:dyDescent="0.25">
      <c r="A364" s="4" t="s">
        <v>406</v>
      </c>
      <c r="B364" s="4" t="s">
        <v>7</v>
      </c>
      <c r="C364" s="4" t="s">
        <v>32</v>
      </c>
      <c r="D364" s="12">
        <v>2463</v>
      </c>
      <c r="E364" s="12">
        <v>1874</v>
      </c>
      <c r="F364" s="13">
        <v>73693</v>
      </c>
      <c r="G364" s="14">
        <v>0.8</v>
      </c>
      <c r="H364" s="13">
        <v>62577</v>
      </c>
      <c r="I364" s="15">
        <f t="shared" si="15"/>
        <v>0.76086073893625661</v>
      </c>
      <c r="J364" s="13">
        <f t="shared" si="16"/>
        <v>56070.11043442956</v>
      </c>
      <c r="K364" s="13">
        <f t="shared" si="17"/>
        <v>58954.400000000001</v>
      </c>
    </row>
    <row r="365" spans="1:11" x14ac:dyDescent="0.25">
      <c r="A365" s="4" t="s">
        <v>407</v>
      </c>
      <c r="B365" s="4" t="s">
        <v>7</v>
      </c>
      <c r="C365" s="4" t="s">
        <v>32</v>
      </c>
      <c r="D365" s="12">
        <v>1233</v>
      </c>
      <c r="E365" s="12">
        <v>724</v>
      </c>
      <c r="F365" s="13">
        <v>31170</v>
      </c>
      <c r="G365" s="14">
        <v>0.76</v>
      </c>
      <c r="H365" s="13">
        <v>17352</v>
      </c>
      <c r="I365" s="15">
        <f t="shared" si="15"/>
        <v>0.58718572587185724</v>
      </c>
      <c r="J365" s="13">
        <f t="shared" si="16"/>
        <v>18302.579075425791</v>
      </c>
      <c r="K365" s="13">
        <f t="shared" si="17"/>
        <v>23689.200000000001</v>
      </c>
    </row>
    <row r="366" spans="1:11" x14ac:dyDescent="0.25">
      <c r="A366" s="4" t="s">
        <v>408</v>
      </c>
      <c r="B366" s="4" t="s">
        <v>7</v>
      </c>
      <c r="C366" s="4" t="s">
        <v>32</v>
      </c>
      <c r="D366" s="12">
        <v>1187</v>
      </c>
      <c r="E366" s="12">
        <v>847</v>
      </c>
      <c r="F366" s="13">
        <v>24381</v>
      </c>
      <c r="G366" s="14">
        <v>0.86</v>
      </c>
      <c r="H366" s="13">
        <v>17795</v>
      </c>
      <c r="I366" s="15">
        <f t="shared" si="15"/>
        <v>0.7135636057287279</v>
      </c>
      <c r="J366" s="13">
        <f t="shared" si="16"/>
        <v>17397.394271272115</v>
      </c>
      <c r="K366" s="13">
        <f t="shared" si="17"/>
        <v>20967.66</v>
      </c>
    </row>
    <row r="367" spans="1:11" x14ac:dyDescent="0.25">
      <c r="A367" s="4" t="s">
        <v>409</v>
      </c>
      <c r="B367" s="4" t="s">
        <v>7</v>
      </c>
      <c r="C367" s="4" t="s">
        <v>237</v>
      </c>
      <c r="D367" s="12">
        <v>1</v>
      </c>
      <c r="E367" s="12">
        <v>1</v>
      </c>
      <c r="F367" s="13">
        <v>123315</v>
      </c>
      <c r="G367" s="14">
        <v>1</v>
      </c>
      <c r="H367" s="13">
        <v>129507</v>
      </c>
      <c r="I367" s="15">
        <f t="shared" si="15"/>
        <v>1</v>
      </c>
      <c r="J367" s="13">
        <f t="shared" si="16"/>
        <v>123315</v>
      </c>
      <c r="K367" s="13">
        <f t="shared" si="17"/>
        <v>123315</v>
      </c>
    </row>
    <row r="368" spans="1:11" x14ac:dyDescent="0.25">
      <c r="A368" s="4" t="s">
        <v>410</v>
      </c>
      <c r="B368" s="4" t="s">
        <v>7</v>
      </c>
      <c r="C368" s="4" t="s">
        <v>32</v>
      </c>
      <c r="D368" s="12">
        <v>2670</v>
      </c>
      <c r="E368" s="12">
        <v>1800</v>
      </c>
      <c r="F368" s="13">
        <v>14044</v>
      </c>
      <c r="G368" s="14">
        <v>0.8</v>
      </c>
      <c r="H368" s="13">
        <v>10472</v>
      </c>
      <c r="I368" s="15">
        <f t="shared" si="15"/>
        <v>0.6741573033707865</v>
      </c>
      <c r="J368" s="13">
        <f t="shared" si="16"/>
        <v>9467.8651685393252</v>
      </c>
      <c r="K368" s="13">
        <f t="shared" si="17"/>
        <v>11235.2</v>
      </c>
    </row>
    <row r="369" spans="1:11" x14ac:dyDescent="0.25">
      <c r="A369" s="4" t="s">
        <v>411</v>
      </c>
      <c r="B369" s="4" t="s">
        <v>7</v>
      </c>
      <c r="C369" s="4" t="s">
        <v>240</v>
      </c>
      <c r="D369" s="12">
        <v>2032</v>
      </c>
      <c r="E369" s="12">
        <v>1158</v>
      </c>
      <c r="F369" s="13">
        <v>103734</v>
      </c>
      <c r="G369" s="14">
        <v>0.71</v>
      </c>
      <c r="H369" s="13">
        <v>58271</v>
      </c>
      <c r="I369" s="15">
        <f t="shared" si="15"/>
        <v>0.56988188976377951</v>
      </c>
      <c r="J369" s="13">
        <f t="shared" si="16"/>
        <v>59116.127952755902</v>
      </c>
      <c r="K369" s="13">
        <f t="shared" si="17"/>
        <v>73651.14</v>
      </c>
    </row>
    <row r="370" spans="1:11" x14ac:dyDescent="0.25">
      <c r="A370" s="4" t="s">
        <v>412</v>
      </c>
      <c r="B370" s="4" t="s">
        <v>7</v>
      </c>
      <c r="C370" s="4" t="s">
        <v>240</v>
      </c>
      <c r="D370" s="12">
        <v>1177</v>
      </c>
      <c r="E370" s="12">
        <v>811</v>
      </c>
      <c r="F370" s="13">
        <v>82296</v>
      </c>
      <c r="G370" s="14">
        <v>0.89</v>
      </c>
      <c r="H370" s="13">
        <v>59895</v>
      </c>
      <c r="I370" s="15">
        <f t="shared" si="15"/>
        <v>0.68903993203058622</v>
      </c>
      <c r="J370" s="13">
        <f t="shared" si="16"/>
        <v>56705.230246389125</v>
      </c>
      <c r="K370" s="13">
        <f t="shared" si="17"/>
        <v>73243.44</v>
      </c>
    </row>
    <row r="371" spans="1:11" x14ac:dyDescent="0.25">
      <c r="A371" s="4" t="s">
        <v>413</v>
      </c>
      <c r="B371" s="4" t="s">
        <v>7</v>
      </c>
      <c r="C371" s="4" t="s">
        <v>240</v>
      </c>
      <c r="D371" s="12">
        <v>2451</v>
      </c>
      <c r="E371" s="12">
        <v>1737</v>
      </c>
      <c r="F371" s="13">
        <v>179168</v>
      </c>
      <c r="G371" s="14">
        <v>0.81</v>
      </c>
      <c r="H371" s="13">
        <v>126032</v>
      </c>
      <c r="I371" s="15">
        <f t="shared" si="15"/>
        <v>0.70869033047735619</v>
      </c>
      <c r="J371" s="13">
        <f t="shared" si="16"/>
        <v>126974.62913096695</v>
      </c>
      <c r="K371" s="13">
        <f t="shared" si="17"/>
        <v>145126.08000000002</v>
      </c>
    </row>
    <row r="372" spans="1:11" x14ac:dyDescent="0.25">
      <c r="A372" s="4" t="s">
        <v>414</v>
      </c>
      <c r="B372" s="4" t="s">
        <v>7</v>
      </c>
      <c r="C372" s="4" t="s">
        <v>32</v>
      </c>
      <c r="D372" s="12">
        <v>2925</v>
      </c>
      <c r="E372" s="12">
        <v>1476</v>
      </c>
      <c r="F372" s="13">
        <v>8424</v>
      </c>
      <c r="G372" s="14">
        <v>0.56999999999999995</v>
      </c>
      <c r="H372" s="13">
        <v>4482</v>
      </c>
      <c r="I372" s="15">
        <f t="shared" si="15"/>
        <v>0.50461538461538458</v>
      </c>
      <c r="J372" s="13">
        <f t="shared" si="16"/>
        <v>4250.88</v>
      </c>
      <c r="K372" s="13">
        <f t="shared" si="17"/>
        <v>4801.6799999999994</v>
      </c>
    </row>
    <row r="373" spans="1:11" x14ac:dyDescent="0.25">
      <c r="A373" s="4" t="s">
        <v>415</v>
      </c>
      <c r="B373" s="4" t="s">
        <v>7</v>
      </c>
      <c r="C373" s="4" t="s">
        <v>237</v>
      </c>
      <c r="D373" s="12">
        <v>1</v>
      </c>
      <c r="E373" s="12">
        <v>1</v>
      </c>
      <c r="F373" s="13">
        <v>87251</v>
      </c>
      <c r="G373" s="14">
        <v>1</v>
      </c>
      <c r="H373" s="13">
        <v>90044</v>
      </c>
      <c r="I373" s="15">
        <f t="shared" si="15"/>
        <v>1</v>
      </c>
      <c r="J373" s="13">
        <f t="shared" si="16"/>
        <v>87251</v>
      </c>
      <c r="K373" s="13">
        <f t="shared" si="17"/>
        <v>87251</v>
      </c>
    </row>
    <row r="374" spans="1:11" x14ac:dyDescent="0.25">
      <c r="A374" s="4" t="s">
        <v>416</v>
      </c>
      <c r="B374" s="4" t="s">
        <v>7</v>
      </c>
      <c r="C374" s="4" t="s">
        <v>27</v>
      </c>
      <c r="D374" s="12">
        <v>1480</v>
      </c>
      <c r="E374" s="12">
        <v>737</v>
      </c>
      <c r="F374" s="13">
        <v>16073</v>
      </c>
      <c r="G374" s="14">
        <v>0.55000000000000004</v>
      </c>
      <c r="H374" s="13">
        <v>8464</v>
      </c>
      <c r="I374" s="15">
        <f t="shared" si="15"/>
        <v>0.49797297297297299</v>
      </c>
      <c r="J374" s="13">
        <f t="shared" si="16"/>
        <v>8003.9195945945949</v>
      </c>
      <c r="K374" s="13">
        <f t="shared" si="17"/>
        <v>8840.1500000000015</v>
      </c>
    </row>
    <row r="375" spans="1:11" x14ac:dyDescent="0.25">
      <c r="A375" s="4" t="s">
        <v>417</v>
      </c>
      <c r="B375" s="4" t="s">
        <v>7</v>
      </c>
      <c r="C375" s="4" t="s">
        <v>237</v>
      </c>
      <c r="D375" s="12">
        <v>1</v>
      </c>
      <c r="E375" s="12">
        <v>1</v>
      </c>
      <c r="F375" s="13">
        <v>94167</v>
      </c>
      <c r="G375" s="14">
        <v>1</v>
      </c>
      <c r="H375" s="13">
        <v>88872</v>
      </c>
      <c r="I375" s="15">
        <f t="shared" si="15"/>
        <v>1</v>
      </c>
      <c r="J375" s="13">
        <f t="shared" si="16"/>
        <v>94167</v>
      </c>
      <c r="K375" s="13">
        <f t="shared" si="17"/>
        <v>94167</v>
      </c>
    </row>
    <row r="376" spans="1:11" x14ac:dyDescent="0.25">
      <c r="A376" s="4" t="s">
        <v>418</v>
      </c>
      <c r="B376" s="4" t="s">
        <v>7</v>
      </c>
      <c r="C376" s="4" t="s">
        <v>240</v>
      </c>
      <c r="D376" s="12">
        <v>1910</v>
      </c>
      <c r="E376" s="12">
        <v>1309</v>
      </c>
      <c r="F376" s="13">
        <v>137004</v>
      </c>
      <c r="G376" s="14">
        <v>0.86</v>
      </c>
      <c r="H376" s="13">
        <v>94351</v>
      </c>
      <c r="I376" s="15">
        <f t="shared" si="15"/>
        <v>0.68534031413612562</v>
      </c>
      <c r="J376" s="13">
        <f t="shared" si="16"/>
        <v>93894.364397905752</v>
      </c>
      <c r="K376" s="13">
        <f t="shared" si="17"/>
        <v>117823.44</v>
      </c>
    </row>
    <row r="377" spans="1:11" x14ac:dyDescent="0.25">
      <c r="A377" s="4" t="s">
        <v>419</v>
      </c>
      <c r="B377" s="4" t="s">
        <v>7</v>
      </c>
      <c r="C377" s="4" t="s">
        <v>45</v>
      </c>
      <c r="D377" s="12">
        <v>22418</v>
      </c>
      <c r="E377" s="12">
        <v>16272</v>
      </c>
      <c r="F377" s="13">
        <v>29816</v>
      </c>
      <c r="G377" s="14">
        <v>0.89</v>
      </c>
      <c r="H377" s="13">
        <v>20845</v>
      </c>
      <c r="I377" s="15">
        <f t="shared" si="15"/>
        <v>0.72584530288161297</v>
      </c>
      <c r="J377" s="13">
        <f t="shared" si="16"/>
        <v>21641.803550718174</v>
      </c>
      <c r="K377" s="13">
        <f t="shared" si="17"/>
        <v>26536.240000000002</v>
      </c>
    </row>
    <row r="378" spans="1:11" x14ac:dyDescent="0.25">
      <c r="A378" s="4" t="s">
        <v>420</v>
      </c>
      <c r="B378" s="4" t="s">
        <v>7</v>
      </c>
      <c r="C378" s="4" t="s">
        <v>237</v>
      </c>
      <c r="D378" s="12">
        <v>2</v>
      </c>
      <c r="E378" s="12">
        <v>1</v>
      </c>
      <c r="F378" s="13">
        <v>126069</v>
      </c>
      <c r="G378" s="14">
        <v>0.54</v>
      </c>
      <c r="H378" s="13">
        <v>70011</v>
      </c>
      <c r="I378" s="15">
        <f t="shared" si="15"/>
        <v>0.5</v>
      </c>
      <c r="J378" s="13">
        <f t="shared" si="16"/>
        <v>63034.5</v>
      </c>
      <c r="K378" s="13">
        <f t="shared" si="17"/>
        <v>68077.260000000009</v>
      </c>
    </row>
    <row r="379" spans="1:11" x14ac:dyDescent="0.25">
      <c r="A379" s="4" t="s">
        <v>421</v>
      </c>
      <c r="B379" s="4" t="s">
        <v>7</v>
      </c>
      <c r="C379" s="4" t="s">
        <v>32</v>
      </c>
      <c r="D379" s="12">
        <v>2719</v>
      </c>
      <c r="E379" s="12">
        <v>2166</v>
      </c>
      <c r="F379" s="13">
        <v>12154</v>
      </c>
      <c r="G379" s="14">
        <v>0.89</v>
      </c>
      <c r="H379" s="13">
        <v>9963</v>
      </c>
      <c r="I379" s="15">
        <f t="shared" si="15"/>
        <v>0.79661640308937109</v>
      </c>
      <c r="J379" s="13">
        <f t="shared" si="16"/>
        <v>9682.0757631482156</v>
      </c>
      <c r="K379" s="13">
        <f t="shared" si="17"/>
        <v>10817.06</v>
      </c>
    </row>
    <row r="380" spans="1:11" x14ac:dyDescent="0.25">
      <c r="A380" s="4" t="s">
        <v>422</v>
      </c>
      <c r="B380" s="4" t="s">
        <v>7</v>
      </c>
      <c r="C380" s="4" t="s">
        <v>27</v>
      </c>
      <c r="D380" s="12">
        <v>1362</v>
      </c>
      <c r="E380" s="12">
        <v>1051</v>
      </c>
      <c r="F380" s="13">
        <v>13157</v>
      </c>
      <c r="G380" s="14">
        <v>0.87</v>
      </c>
      <c r="H380" s="13">
        <v>9770</v>
      </c>
      <c r="I380" s="15">
        <f t="shared" si="15"/>
        <v>0.77165932452276065</v>
      </c>
      <c r="J380" s="13">
        <f t="shared" si="16"/>
        <v>10152.721732745962</v>
      </c>
      <c r="K380" s="13">
        <f t="shared" si="17"/>
        <v>11446.59</v>
      </c>
    </row>
    <row r="381" spans="1:11" x14ac:dyDescent="0.25">
      <c r="A381" s="4" t="s">
        <v>423</v>
      </c>
      <c r="B381" s="4" t="s">
        <v>7</v>
      </c>
      <c r="C381" s="4" t="s">
        <v>32</v>
      </c>
      <c r="D381" s="12">
        <v>2756</v>
      </c>
      <c r="E381" s="12">
        <v>1450</v>
      </c>
      <c r="F381" s="13">
        <v>12815</v>
      </c>
      <c r="G381" s="14">
        <v>0.61</v>
      </c>
      <c r="H381" s="13">
        <v>6804</v>
      </c>
      <c r="I381" s="15">
        <f t="shared" si="15"/>
        <v>0.52612481857764881</v>
      </c>
      <c r="J381" s="13">
        <f t="shared" si="16"/>
        <v>6742.2895500725699</v>
      </c>
      <c r="K381" s="13">
        <f t="shared" si="17"/>
        <v>7817.15</v>
      </c>
    </row>
    <row r="382" spans="1:11" x14ac:dyDescent="0.25">
      <c r="A382" s="4" t="s">
        <v>424</v>
      </c>
      <c r="B382" s="4" t="s">
        <v>7</v>
      </c>
      <c r="C382" s="4" t="s">
        <v>27</v>
      </c>
      <c r="D382" s="12">
        <v>337</v>
      </c>
      <c r="E382" s="12">
        <v>167</v>
      </c>
      <c r="F382" s="13">
        <v>2393</v>
      </c>
      <c r="G382" s="14">
        <v>0.68</v>
      </c>
      <c r="H382" s="13">
        <v>1190</v>
      </c>
      <c r="I382" s="15">
        <f t="shared" si="15"/>
        <v>0.49554896142433236</v>
      </c>
      <c r="J382" s="13">
        <f t="shared" si="16"/>
        <v>1185.8486646884273</v>
      </c>
      <c r="K382" s="13">
        <f t="shared" si="17"/>
        <v>1627.24</v>
      </c>
    </row>
    <row r="383" spans="1:11" x14ac:dyDescent="0.25">
      <c r="A383" s="4" t="s">
        <v>425</v>
      </c>
      <c r="B383" s="4" t="s">
        <v>7</v>
      </c>
      <c r="C383" s="4" t="s">
        <v>237</v>
      </c>
      <c r="D383" s="12">
        <v>2</v>
      </c>
      <c r="E383" s="12">
        <v>1</v>
      </c>
      <c r="F383" s="13">
        <v>244327</v>
      </c>
      <c r="G383" s="14">
        <v>0.6</v>
      </c>
      <c r="H383" s="13">
        <v>126657</v>
      </c>
      <c r="I383" s="15">
        <f t="shared" si="15"/>
        <v>0.5</v>
      </c>
      <c r="J383" s="13">
        <f t="shared" si="16"/>
        <v>122163.5</v>
      </c>
      <c r="K383" s="13">
        <f t="shared" si="17"/>
        <v>146596.19999999998</v>
      </c>
    </row>
    <row r="384" spans="1:11" x14ac:dyDescent="0.25">
      <c r="A384" s="4" t="s">
        <v>426</v>
      </c>
      <c r="B384" s="4" t="s">
        <v>7</v>
      </c>
      <c r="C384" s="4" t="s">
        <v>237</v>
      </c>
      <c r="D384" s="12">
        <v>1</v>
      </c>
      <c r="E384" s="12">
        <v>1</v>
      </c>
      <c r="F384" s="13">
        <v>131018</v>
      </c>
      <c r="G384" s="14">
        <v>1</v>
      </c>
      <c r="H384" s="13">
        <v>136230</v>
      </c>
      <c r="I384" s="15">
        <f t="shared" si="15"/>
        <v>1</v>
      </c>
      <c r="J384" s="13">
        <f t="shared" si="16"/>
        <v>131018</v>
      </c>
      <c r="K384" s="13">
        <f t="shared" si="17"/>
        <v>131018</v>
      </c>
    </row>
    <row r="385" spans="1:11" x14ac:dyDescent="0.25">
      <c r="A385" s="4" t="s">
        <v>427</v>
      </c>
      <c r="B385" s="4" t="s">
        <v>7</v>
      </c>
      <c r="C385" s="4" t="s">
        <v>237</v>
      </c>
      <c r="D385" s="12">
        <v>1</v>
      </c>
      <c r="E385" s="12">
        <v>1</v>
      </c>
      <c r="F385" s="13">
        <v>94603</v>
      </c>
      <c r="G385" s="14">
        <v>1</v>
      </c>
      <c r="H385" s="13">
        <v>100666</v>
      </c>
      <c r="I385" s="15">
        <f t="shared" si="15"/>
        <v>1</v>
      </c>
      <c r="J385" s="13">
        <f t="shared" si="16"/>
        <v>94603</v>
      </c>
      <c r="K385" s="13">
        <f t="shared" si="17"/>
        <v>94603</v>
      </c>
    </row>
    <row r="386" spans="1:11" x14ac:dyDescent="0.25">
      <c r="A386" s="4" t="s">
        <v>428</v>
      </c>
      <c r="B386" s="4" t="s">
        <v>7</v>
      </c>
      <c r="C386" s="4" t="s">
        <v>237</v>
      </c>
      <c r="D386" s="12">
        <v>1</v>
      </c>
      <c r="E386" s="12">
        <v>0</v>
      </c>
      <c r="F386" s="13">
        <v>100183</v>
      </c>
      <c r="G386" s="14">
        <v>0.18</v>
      </c>
      <c r="H386" s="13">
        <v>0</v>
      </c>
      <c r="I386" s="15">
        <f t="shared" si="15"/>
        <v>0</v>
      </c>
      <c r="J386" s="13">
        <f t="shared" si="16"/>
        <v>0</v>
      </c>
      <c r="K386" s="13">
        <f t="shared" si="17"/>
        <v>18032.939999999999</v>
      </c>
    </row>
    <row r="387" spans="1:11" x14ac:dyDescent="0.25">
      <c r="A387" s="4" t="s">
        <v>429</v>
      </c>
      <c r="B387" s="4" t="s">
        <v>7</v>
      </c>
      <c r="C387" s="4" t="s">
        <v>237</v>
      </c>
      <c r="D387" s="12">
        <v>2</v>
      </c>
      <c r="E387" s="12">
        <v>1</v>
      </c>
      <c r="F387" s="13">
        <v>123423</v>
      </c>
      <c r="G387" s="14">
        <v>0.69</v>
      </c>
      <c r="H387" s="13">
        <v>65503</v>
      </c>
      <c r="I387" s="15">
        <f t="shared" si="15"/>
        <v>0.5</v>
      </c>
      <c r="J387" s="13">
        <f t="shared" si="16"/>
        <v>61711.5</v>
      </c>
      <c r="K387" s="13">
        <f t="shared" si="17"/>
        <v>85161.87</v>
      </c>
    </row>
    <row r="388" spans="1:11" x14ac:dyDescent="0.25">
      <c r="A388" s="4" t="s">
        <v>430</v>
      </c>
      <c r="B388" s="4" t="s">
        <v>7</v>
      </c>
      <c r="C388" s="4" t="s">
        <v>237</v>
      </c>
      <c r="D388" s="12">
        <v>77</v>
      </c>
      <c r="E388" s="12">
        <v>50</v>
      </c>
      <c r="F388" s="13">
        <v>92546</v>
      </c>
      <c r="G388" s="14">
        <v>0.79</v>
      </c>
      <c r="H388" s="13">
        <v>59118</v>
      </c>
      <c r="I388" s="15">
        <f t="shared" si="15"/>
        <v>0.64935064935064934</v>
      </c>
      <c r="J388" s="13">
        <f t="shared" si="16"/>
        <v>60094.805194805194</v>
      </c>
      <c r="K388" s="13">
        <f t="shared" si="17"/>
        <v>73111.34</v>
      </c>
    </row>
    <row r="389" spans="1:11" x14ac:dyDescent="0.25">
      <c r="A389" s="4" t="s">
        <v>431</v>
      </c>
      <c r="B389" s="4" t="s">
        <v>7</v>
      </c>
      <c r="C389" s="4" t="s">
        <v>240</v>
      </c>
      <c r="D389" s="12">
        <v>1898</v>
      </c>
      <c r="E389" s="12">
        <v>1067</v>
      </c>
      <c r="F389" s="13">
        <v>129406</v>
      </c>
      <c r="G389" s="14">
        <v>0.61</v>
      </c>
      <c r="H389" s="13">
        <v>77672</v>
      </c>
      <c r="I389" s="15">
        <f t="shared" ref="I389:I452" si="18">IF(D389&gt;0,MIN(E389/D389,1),0)</f>
        <v>0.56217070600632246</v>
      </c>
      <c r="J389" s="13">
        <f t="shared" ref="J389:J452" si="19">F389*I389</f>
        <v>72748.262381454158</v>
      </c>
      <c r="K389" s="13">
        <f t="shared" ref="K389:K452" si="20">F389*G389</f>
        <v>78937.66</v>
      </c>
    </row>
    <row r="390" spans="1:11" x14ac:dyDescent="0.25">
      <c r="A390" s="4" t="s">
        <v>432</v>
      </c>
      <c r="B390" s="4" t="s">
        <v>7</v>
      </c>
      <c r="C390" s="4" t="s">
        <v>237</v>
      </c>
      <c r="D390" s="12">
        <v>1</v>
      </c>
      <c r="E390" s="12">
        <v>1</v>
      </c>
      <c r="F390" s="13">
        <v>83844</v>
      </c>
      <c r="G390" s="14">
        <v>1</v>
      </c>
      <c r="H390" s="13">
        <v>81716</v>
      </c>
      <c r="I390" s="15">
        <f t="shared" si="18"/>
        <v>1</v>
      </c>
      <c r="J390" s="13">
        <f t="shared" si="19"/>
        <v>83844</v>
      </c>
      <c r="K390" s="13">
        <f t="shared" si="20"/>
        <v>83844</v>
      </c>
    </row>
    <row r="391" spans="1:11" x14ac:dyDescent="0.25">
      <c r="A391" s="4" t="s">
        <v>433</v>
      </c>
      <c r="B391" s="4" t="s">
        <v>7</v>
      </c>
      <c r="C391" s="4" t="s">
        <v>27</v>
      </c>
      <c r="D391" s="12">
        <v>1143</v>
      </c>
      <c r="E391" s="12">
        <v>954</v>
      </c>
      <c r="F391" s="13">
        <v>11887</v>
      </c>
      <c r="G391" s="14">
        <v>0.93</v>
      </c>
      <c r="H391" s="13">
        <v>9874</v>
      </c>
      <c r="I391" s="15">
        <f t="shared" si="18"/>
        <v>0.83464566929133854</v>
      </c>
      <c r="J391" s="13">
        <f t="shared" si="19"/>
        <v>9921.4330708661419</v>
      </c>
      <c r="K391" s="13">
        <f t="shared" si="20"/>
        <v>11054.91</v>
      </c>
    </row>
    <row r="392" spans="1:11" x14ac:dyDescent="0.25">
      <c r="A392" s="4" t="s">
        <v>434</v>
      </c>
      <c r="B392" s="4" t="s">
        <v>7</v>
      </c>
      <c r="C392" s="4" t="s">
        <v>240</v>
      </c>
      <c r="D392" s="12">
        <v>530</v>
      </c>
      <c r="E392" s="12">
        <v>453</v>
      </c>
      <c r="F392" s="13">
        <v>21518</v>
      </c>
      <c r="G392" s="14">
        <v>1</v>
      </c>
      <c r="H392" s="13">
        <v>18359</v>
      </c>
      <c r="I392" s="15">
        <f t="shared" si="18"/>
        <v>0.8547169811320755</v>
      </c>
      <c r="J392" s="13">
        <f t="shared" si="19"/>
        <v>18391.8</v>
      </c>
      <c r="K392" s="13">
        <f t="shared" si="20"/>
        <v>21518</v>
      </c>
    </row>
    <row r="393" spans="1:11" x14ac:dyDescent="0.25">
      <c r="A393" s="4" t="s">
        <v>435</v>
      </c>
      <c r="B393" s="4" t="s">
        <v>7</v>
      </c>
      <c r="C393" s="4" t="s">
        <v>237</v>
      </c>
      <c r="D393" s="12">
        <v>2</v>
      </c>
      <c r="E393" s="12">
        <v>1</v>
      </c>
      <c r="F393" s="13">
        <v>213795</v>
      </c>
      <c r="G393" s="14">
        <v>0.64</v>
      </c>
      <c r="H393" s="13">
        <v>104741</v>
      </c>
      <c r="I393" s="15">
        <f t="shared" si="18"/>
        <v>0.5</v>
      </c>
      <c r="J393" s="13">
        <f t="shared" si="19"/>
        <v>106897.5</v>
      </c>
      <c r="K393" s="13">
        <f t="shared" si="20"/>
        <v>136828.79999999999</v>
      </c>
    </row>
    <row r="394" spans="1:11" x14ac:dyDescent="0.25">
      <c r="A394" s="4" t="s">
        <v>436</v>
      </c>
      <c r="B394" s="4" t="s">
        <v>7</v>
      </c>
      <c r="C394" s="4" t="s">
        <v>237</v>
      </c>
      <c r="D394" s="12">
        <v>2</v>
      </c>
      <c r="E394" s="12">
        <v>2</v>
      </c>
      <c r="F394" s="13">
        <v>218455</v>
      </c>
      <c r="G394" s="14">
        <v>1</v>
      </c>
      <c r="H394" s="13">
        <v>229729</v>
      </c>
      <c r="I394" s="15">
        <f t="shared" si="18"/>
        <v>1</v>
      </c>
      <c r="J394" s="13">
        <f t="shared" si="19"/>
        <v>218455</v>
      </c>
      <c r="K394" s="13">
        <f t="shared" si="20"/>
        <v>218455</v>
      </c>
    </row>
    <row r="395" spans="1:11" x14ac:dyDescent="0.25">
      <c r="A395" s="4" t="s">
        <v>437</v>
      </c>
      <c r="B395" s="4" t="s">
        <v>7</v>
      </c>
      <c r="C395" s="4" t="s">
        <v>32</v>
      </c>
      <c r="D395" s="12">
        <v>2755</v>
      </c>
      <c r="E395" s="12">
        <v>1854</v>
      </c>
      <c r="F395" s="13">
        <v>72484</v>
      </c>
      <c r="G395" s="14">
        <v>0.86</v>
      </c>
      <c r="H395" s="13">
        <v>54133</v>
      </c>
      <c r="I395" s="15">
        <f t="shared" si="18"/>
        <v>0.67295825771324869</v>
      </c>
      <c r="J395" s="13">
        <f t="shared" si="19"/>
        <v>48778.706352087116</v>
      </c>
      <c r="K395" s="13">
        <f t="shared" si="20"/>
        <v>62336.24</v>
      </c>
    </row>
    <row r="396" spans="1:11" x14ac:dyDescent="0.25">
      <c r="A396" s="4" t="s">
        <v>438</v>
      </c>
      <c r="B396" s="4" t="s">
        <v>7</v>
      </c>
      <c r="C396" s="4" t="s">
        <v>237</v>
      </c>
      <c r="D396" s="12">
        <v>1</v>
      </c>
      <c r="E396" s="12">
        <v>1</v>
      </c>
      <c r="F396" s="13">
        <v>137955</v>
      </c>
      <c r="G396" s="14">
        <v>1</v>
      </c>
      <c r="H396" s="13">
        <v>138888</v>
      </c>
      <c r="I396" s="15">
        <f t="shared" si="18"/>
        <v>1</v>
      </c>
      <c r="J396" s="13">
        <f t="shared" si="19"/>
        <v>137955</v>
      </c>
      <c r="K396" s="13">
        <f t="shared" si="20"/>
        <v>137955</v>
      </c>
    </row>
    <row r="397" spans="1:11" x14ac:dyDescent="0.25">
      <c r="A397" s="4" t="s">
        <v>439</v>
      </c>
      <c r="B397" s="4" t="s">
        <v>7</v>
      </c>
      <c r="C397" s="4" t="s">
        <v>32</v>
      </c>
      <c r="D397" s="12">
        <v>3041</v>
      </c>
      <c r="E397" s="12">
        <v>1902</v>
      </c>
      <c r="F397" s="13">
        <v>55894</v>
      </c>
      <c r="G397" s="14">
        <v>0.78</v>
      </c>
      <c r="H397" s="13">
        <v>37486</v>
      </c>
      <c r="I397" s="15">
        <f t="shared" si="18"/>
        <v>0.62545215389674447</v>
      </c>
      <c r="J397" s="13">
        <f t="shared" si="19"/>
        <v>34959.022689904632</v>
      </c>
      <c r="K397" s="13">
        <f t="shared" si="20"/>
        <v>43597.32</v>
      </c>
    </row>
    <row r="398" spans="1:11" x14ac:dyDescent="0.25">
      <c r="A398" s="4" t="s">
        <v>440</v>
      </c>
      <c r="B398" s="4" t="s">
        <v>7</v>
      </c>
      <c r="C398" s="4" t="s">
        <v>27</v>
      </c>
      <c r="D398" s="12">
        <v>989</v>
      </c>
      <c r="E398" s="12">
        <v>544</v>
      </c>
      <c r="F398" s="13">
        <v>10820</v>
      </c>
      <c r="G398" s="14">
        <v>0.64</v>
      </c>
      <c r="H398" s="13">
        <v>6079</v>
      </c>
      <c r="I398" s="15">
        <f t="shared" si="18"/>
        <v>0.55005055611729015</v>
      </c>
      <c r="J398" s="13">
        <f t="shared" si="19"/>
        <v>5951.5470171890793</v>
      </c>
      <c r="K398" s="13">
        <f t="shared" si="20"/>
        <v>6924.8</v>
      </c>
    </row>
    <row r="399" spans="1:11" x14ac:dyDescent="0.25">
      <c r="A399" s="4" t="s">
        <v>441</v>
      </c>
      <c r="B399" s="4" t="s">
        <v>7</v>
      </c>
      <c r="C399" s="4" t="s">
        <v>45</v>
      </c>
      <c r="D399" s="12">
        <v>29710</v>
      </c>
      <c r="E399" s="12">
        <v>25072</v>
      </c>
      <c r="F399" s="13">
        <v>40406</v>
      </c>
      <c r="G399" s="14">
        <v>0.96</v>
      </c>
      <c r="H399" s="13">
        <v>37196</v>
      </c>
      <c r="I399" s="15">
        <f t="shared" si="18"/>
        <v>0.84389094580949175</v>
      </c>
      <c r="J399" s="13">
        <f t="shared" si="19"/>
        <v>34098.257556378325</v>
      </c>
      <c r="K399" s="13">
        <f t="shared" si="20"/>
        <v>38789.760000000002</v>
      </c>
    </row>
    <row r="400" spans="1:11" x14ac:dyDescent="0.25">
      <c r="A400" s="4" t="s">
        <v>442</v>
      </c>
      <c r="B400" s="4" t="s">
        <v>7</v>
      </c>
      <c r="C400" s="4" t="s">
        <v>45</v>
      </c>
      <c r="D400" s="12">
        <v>13171</v>
      </c>
      <c r="E400" s="12">
        <v>10626</v>
      </c>
      <c r="F400" s="13">
        <v>12381</v>
      </c>
      <c r="G400" s="14">
        <v>0.89</v>
      </c>
      <c r="H400" s="13">
        <v>10802</v>
      </c>
      <c r="I400" s="15">
        <f t="shared" si="18"/>
        <v>0.80677245463518332</v>
      </c>
      <c r="J400" s="13">
        <f t="shared" si="19"/>
        <v>9988.6497608382051</v>
      </c>
      <c r="K400" s="13">
        <f t="shared" si="20"/>
        <v>11019.09</v>
      </c>
    </row>
    <row r="401" spans="1:11" x14ac:dyDescent="0.25">
      <c r="A401" s="4" t="s">
        <v>443</v>
      </c>
      <c r="B401" s="4" t="s">
        <v>7</v>
      </c>
      <c r="C401" s="4" t="s">
        <v>32</v>
      </c>
      <c r="D401" s="12">
        <v>2881</v>
      </c>
      <c r="E401" s="12">
        <v>1521</v>
      </c>
      <c r="F401" s="13">
        <v>75713</v>
      </c>
      <c r="G401" s="14">
        <v>0.63</v>
      </c>
      <c r="H401" s="13">
        <v>40515</v>
      </c>
      <c r="I401" s="15">
        <f t="shared" si="18"/>
        <v>0.52794168691426591</v>
      </c>
      <c r="J401" s="13">
        <f t="shared" si="19"/>
        <v>39972.048941339817</v>
      </c>
      <c r="K401" s="13">
        <f t="shared" si="20"/>
        <v>47699.19</v>
      </c>
    </row>
    <row r="402" spans="1:11" x14ac:dyDescent="0.25">
      <c r="A402" s="4" t="s">
        <v>444</v>
      </c>
      <c r="B402" s="4" t="s">
        <v>7</v>
      </c>
      <c r="C402" s="4" t="s">
        <v>237</v>
      </c>
      <c r="D402" s="12">
        <v>2</v>
      </c>
      <c r="E402" s="12">
        <v>1</v>
      </c>
      <c r="F402" s="13">
        <v>214552</v>
      </c>
      <c r="G402" s="14">
        <v>0.7</v>
      </c>
      <c r="H402" s="13">
        <v>105337</v>
      </c>
      <c r="I402" s="15">
        <f t="shared" si="18"/>
        <v>0.5</v>
      </c>
      <c r="J402" s="13">
        <f t="shared" si="19"/>
        <v>107276</v>
      </c>
      <c r="K402" s="13">
        <f t="shared" si="20"/>
        <v>150186.4</v>
      </c>
    </row>
    <row r="403" spans="1:11" x14ac:dyDescent="0.25">
      <c r="A403" s="4" t="s">
        <v>445</v>
      </c>
      <c r="B403" s="4" t="s">
        <v>7</v>
      </c>
      <c r="C403" s="4" t="s">
        <v>32</v>
      </c>
      <c r="D403" s="12">
        <v>1986</v>
      </c>
      <c r="E403" s="12">
        <v>1153</v>
      </c>
      <c r="F403" s="13">
        <v>9155</v>
      </c>
      <c r="G403" s="14">
        <v>0.71</v>
      </c>
      <c r="H403" s="13">
        <v>5616</v>
      </c>
      <c r="I403" s="15">
        <f t="shared" si="18"/>
        <v>0.580563947633434</v>
      </c>
      <c r="J403" s="13">
        <f t="shared" si="19"/>
        <v>5315.0629405840882</v>
      </c>
      <c r="K403" s="13">
        <f t="shared" si="20"/>
        <v>6500.0499999999993</v>
      </c>
    </row>
    <row r="404" spans="1:11" x14ac:dyDescent="0.25">
      <c r="A404" s="4" t="s">
        <v>446</v>
      </c>
      <c r="B404" s="4" t="s">
        <v>7</v>
      </c>
      <c r="C404" s="4" t="s">
        <v>237</v>
      </c>
      <c r="D404" s="12">
        <v>77</v>
      </c>
      <c r="E404" s="12">
        <v>39</v>
      </c>
      <c r="F404" s="13">
        <v>52837</v>
      </c>
      <c r="G404" s="14">
        <v>0.63</v>
      </c>
      <c r="H404" s="13">
        <v>25905</v>
      </c>
      <c r="I404" s="15">
        <f t="shared" si="18"/>
        <v>0.50649350649350644</v>
      </c>
      <c r="J404" s="13">
        <f t="shared" si="19"/>
        <v>26761.597402597399</v>
      </c>
      <c r="K404" s="13">
        <f t="shared" si="20"/>
        <v>33287.31</v>
      </c>
    </row>
    <row r="405" spans="1:11" x14ac:dyDescent="0.25">
      <c r="A405" s="4" t="s">
        <v>447</v>
      </c>
      <c r="B405" s="4" t="s">
        <v>7</v>
      </c>
      <c r="C405" s="4" t="s">
        <v>32</v>
      </c>
      <c r="D405" s="12">
        <v>1477</v>
      </c>
      <c r="E405" s="12">
        <v>921</v>
      </c>
      <c r="F405" s="13">
        <v>29318</v>
      </c>
      <c r="G405" s="14">
        <v>0.73</v>
      </c>
      <c r="H405" s="13">
        <v>18341</v>
      </c>
      <c r="I405" s="15">
        <f t="shared" si="18"/>
        <v>0.62356127285037233</v>
      </c>
      <c r="J405" s="13">
        <f t="shared" si="19"/>
        <v>18281.569397427214</v>
      </c>
      <c r="K405" s="13">
        <f t="shared" si="20"/>
        <v>21402.14</v>
      </c>
    </row>
    <row r="406" spans="1:11" x14ac:dyDescent="0.25">
      <c r="A406" s="4" t="s">
        <v>448</v>
      </c>
      <c r="B406" s="4" t="s">
        <v>7</v>
      </c>
      <c r="C406" s="4" t="s">
        <v>240</v>
      </c>
      <c r="D406" s="12">
        <v>1581</v>
      </c>
      <c r="E406" s="12">
        <v>758</v>
      </c>
      <c r="F406" s="13">
        <v>111192</v>
      </c>
      <c r="G406" s="14">
        <v>0.54</v>
      </c>
      <c r="H406" s="13">
        <v>58621</v>
      </c>
      <c r="I406" s="15">
        <f t="shared" si="18"/>
        <v>0.47944339025932953</v>
      </c>
      <c r="J406" s="13">
        <f t="shared" si="19"/>
        <v>53310.269449715372</v>
      </c>
      <c r="K406" s="13">
        <f t="shared" si="20"/>
        <v>60043.680000000008</v>
      </c>
    </row>
    <row r="407" spans="1:11" x14ac:dyDescent="0.25">
      <c r="A407" s="4" t="s">
        <v>449</v>
      </c>
      <c r="B407" s="4" t="s">
        <v>7</v>
      </c>
      <c r="C407" s="4" t="s">
        <v>237</v>
      </c>
      <c r="D407" s="12">
        <v>2</v>
      </c>
      <c r="E407" s="12">
        <v>2</v>
      </c>
      <c r="F407" s="13">
        <v>277359</v>
      </c>
      <c r="G407" s="14">
        <v>1</v>
      </c>
      <c r="H407" s="13">
        <v>311062</v>
      </c>
      <c r="I407" s="15">
        <f t="shared" si="18"/>
        <v>1</v>
      </c>
      <c r="J407" s="13">
        <f t="shared" si="19"/>
        <v>277359</v>
      </c>
      <c r="K407" s="13">
        <f t="shared" si="20"/>
        <v>277359</v>
      </c>
    </row>
    <row r="408" spans="1:11" x14ac:dyDescent="0.25">
      <c r="A408" s="4" t="s">
        <v>450</v>
      </c>
      <c r="B408" s="4" t="s">
        <v>7</v>
      </c>
      <c r="C408" s="4" t="s">
        <v>27</v>
      </c>
      <c r="D408" s="12">
        <v>910</v>
      </c>
      <c r="E408" s="12">
        <v>553</v>
      </c>
      <c r="F408" s="13">
        <v>8845</v>
      </c>
      <c r="G408" s="14">
        <v>0.69</v>
      </c>
      <c r="H408" s="13">
        <v>5588</v>
      </c>
      <c r="I408" s="15">
        <f t="shared" si="18"/>
        <v>0.60769230769230764</v>
      </c>
      <c r="J408" s="13">
        <f t="shared" si="19"/>
        <v>5375.038461538461</v>
      </c>
      <c r="K408" s="13">
        <f t="shared" si="20"/>
        <v>6103.0499999999993</v>
      </c>
    </row>
    <row r="409" spans="1:11" x14ac:dyDescent="0.25">
      <c r="A409" s="4" t="s">
        <v>451</v>
      </c>
      <c r="B409" s="4" t="s">
        <v>7</v>
      </c>
      <c r="C409" s="4" t="s">
        <v>27</v>
      </c>
      <c r="D409" s="12">
        <v>981</v>
      </c>
      <c r="E409" s="12">
        <v>526</v>
      </c>
      <c r="F409" s="13">
        <v>7887</v>
      </c>
      <c r="G409" s="14">
        <v>0.62</v>
      </c>
      <c r="H409" s="13">
        <v>4230</v>
      </c>
      <c r="I409" s="15">
        <f t="shared" si="18"/>
        <v>0.53618756371049947</v>
      </c>
      <c r="J409" s="13">
        <f t="shared" si="19"/>
        <v>4228.911314984709</v>
      </c>
      <c r="K409" s="13">
        <f t="shared" si="20"/>
        <v>4889.9399999999996</v>
      </c>
    </row>
    <row r="410" spans="1:11" x14ac:dyDescent="0.25">
      <c r="A410" s="4" t="s">
        <v>452</v>
      </c>
      <c r="B410" s="4" t="s">
        <v>7</v>
      </c>
      <c r="C410" s="4" t="s">
        <v>237</v>
      </c>
      <c r="D410" s="12">
        <v>59</v>
      </c>
      <c r="E410" s="12">
        <v>33</v>
      </c>
      <c r="F410" s="13">
        <v>62352</v>
      </c>
      <c r="G410" s="14">
        <v>0.6</v>
      </c>
      <c r="H410" s="13">
        <v>34257</v>
      </c>
      <c r="I410" s="15">
        <f t="shared" si="18"/>
        <v>0.55932203389830504</v>
      </c>
      <c r="J410" s="13">
        <f t="shared" si="19"/>
        <v>34874.847457627118</v>
      </c>
      <c r="K410" s="13">
        <f t="shared" si="20"/>
        <v>37411.199999999997</v>
      </c>
    </row>
    <row r="411" spans="1:11" x14ac:dyDescent="0.25">
      <c r="A411" s="4" t="s">
        <v>453</v>
      </c>
      <c r="B411" s="4" t="s">
        <v>7</v>
      </c>
      <c r="C411" s="4" t="s">
        <v>32</v>
      </c>
      <c r="D411" s="12">
        <v>2305</v>
      </c>
      <c r="E411" s="12">
        <v>1726</v>
      </c>
      <c r="F411" s="13">
        <v>10810</v>
      </c>
      <c r="G411" s="14">
        <v>0.84</v>
      </c>
      <c r="H411" s="13">
        <v>9113</v>
      </c>
      <c r="I411" s="15">
        <f t="shared" si="18"/>
        <v>0.74880694143167026</v>
      </c>
      <c r="J411" s="13">
        <f t="shared" si="19"/>
        <v>8094.6030368763559</v>
      </c>
      <c r="K411" s="13">
        <f t="shared" si="20"/>
        <v>9080.4</v>
      </c>
    </row>
    <row r="412" spans="1:11" x14ac:dyDescent="0.25">
      <c r="A412" s="4" t="s">
        <v>454</v>
      </c>
      <c r="B412" s="4" t="s">
        <v>7</v>
      </c>
      <c r="C412" s="4" t="s">
        <v>240</v>
      </c>
      <c r="D412" s="12">
        <v>1976</v>
      </c>
      <c r="E412" s="12">
        <v>1028</v>
      </c>
      <c r="F412" s="13">
        <v>112276</v>
      </c>
      <c r="G412" s="14">
        <v>0.67</v>
      </c>
      <c r="H412" s="13">
        <v>56085</v>
      </c>
      <c r="I412" s="15">
        <f t="shared" si="18"/>
        <v>0.52024291497975705</v>
      </c>
      <c r="J412" s="13">
        <f t="shared" si="19"/>
        <v>58410.793522267202</v>
      </c>
      <c r="K412" s="13">
        <f t="shared" si="20"/>
        <v>75224.92</v>
      </c>
    </row>
    <row r="413" spans="1:11" x14ac:dyDescent="0.25">
      <c r="A413" s="4" t="s">
        <v>455</v>
      </c>
      <c r="B413" s="4" t="s">
        <v>7</v>
      </c>
      <c r="C413" s="4" t="s">
        <v>32</v>
      </c>
      <c r="D413" s="12">
        <v>656</v>
      </c>
      <c r="E413" s="12">
        <v>323</v>
      </c>
      <c r="F413" s="13">
        <v>12694</v>
      </c>
      <c r="G413" s="14">
        <v>0.57999999999999996</v>
      </c>
      <c r="H413" s="13">
        <v>6331</v>
      </c>
      <c r="I413" s="15">
        <f t="shared" si="18"/>
        <v>0.4923780487804878</v>
      </c>
      <c r="J413" s="13">
        <f t="shared" si="19"/>
        <v>6250.2469512195121</v>
      </c>
      <c r="K413" s="13">
        <f t="shared" si="20"/>
        <v>7362.5199999999995</v>
      </c>
    </row>
    <row r="414" spans="1:11" x14ac:dyDescent="0.25">
      <c r="A414" s="4" t="s">
        <v>456</v>
      </c>
      <c r="B414" s="4" t="s">
        <v>7</v>
      </c>
      <c r="C414" s="4" t="s">
        <v>45</v>
      </c>
      <c r="D414" s="12">
        <v>21100</v>
      </c>
      <c r="E414" s="12">
        <v>17423</v>
      </c>
      <c r="F414" s="13">
        <v>23210</v>
      </c>
      <c r="G414" s="14">
        <v>0.89</v>
      </c>
      <c r="H414" s="13">
        <v>20085</v>
      </c>
      <c r="I414" s="15">
        <f t="shared" si="18"/>
        <v>0.82573459715639808</v>
      </c>
      <c r="J414" s="13">
        <f t="shared" si="19"/>
        <v>19165.3</v>
      </c>
      <c r="K414" s="13">
        <f t="shared" si="20"/>
        <v>20656.900000000001</v>
      </c>
    </row>
    <row r="415" spans="1:11" x14ac:dyDescent="0.25">
      <c r="A415" s="4" t="s">
        <v>457</v>
      </c>
      <c r="B415" s="4" t="s">
        <v>7</v>
      </c>
      <c r="C415" s="4" t="s">
        <v>237</v>
      </c>
      <c r="D415" s="12">
        <v>44</v>
      </c>
      <c r="E415" s="12">
        <v>29</v>
      </c>
      <c r="F415" s="13">
        <v>26634</v>
      </c>
      <c r="G415" s="14">
        <v>0.83</v>
      </c>
      <c r="H415" s="13">
        <v>17896</v>
      </c>
      <c r="I415" s="15">
        <f t="shared" si="18"/>
        <v>0.65909090909090906</v>
      </c>
      <c r="J415" s="13">
        <f t="shared" si="19"/>
        <v>17554.227272727272</v>
      </c>
      <c r="K415" s="13">
        <f t="shared" si="20"/>
        <v>22106.219999999998</v>
      </c>
    </row>
    <row r="416" spans="1:11" x14ac:dyDescent="0.25">
      <c r="A416" s="4" t="s">
        <v>458</v>
      </c>
      <c r="B416" s="4" t="s">
        <v>7</v>
      </c>
      <c r="C416" s="4" t="s">
        <v>237</v>
      </c>
      <c r="D416" s="12">
        <v>2</v>
      </c>
      <c r="E416" s="12">
        <v>2</v>
      </c>
      <c r="F416" s="13">
        <v>178890</v>
      </c>
      <c r="G416" s="14">
        <v>1</v>
      </c>
      <c r="H416" s="13">
        <v>202083</v>
      </c>
      <c r="I416" s="15">
        <f t="shared" si="18"/>
        <v>1</v>
      </c>
      <c r="J416" s="13">
        <f t="shared" si="19"/>
        <v>178890</v>
      </c>
      <c r="K416" s="13">
        <f t="shared" si="20"/>
        <v>178890</v>
      </c>
    </row>
    <row r="417" spans="1:11" x14ac:dyDescent="0.25">
      <c r="A417" s="4" t="s">
        <v>459</v>
      </c>
      <c r="B417" s="4" t="s">
        <v>7</v>
      </c>
      <c r="C417" s="4" t="s">
        <v>32</v>
      </c>
      <c r="D417" s="12">
        <v>2048</v>
      </c>
      <c r="E417" s="12">
        <v>1068</v>
      </c>
      <c r="F417" s="13">
        <v>55378</v>
      </c>
      <c r="G417" s="14">
        <v>0.62</v>
      </c>
      <c r="H417" s="13">
        <v>28210</v>
      </c>
      <c r="I417" s="15">
        <f t="shared" si="18"/>
        <v>0.521484375</v>
      </c>
      <c r="J417" s="13">
        <f t="shared" si="19"/>
        <v>28878.76171875</v>
      </c>
      <c r="K417" s="13">
        <f t="shared" si="20"/>
        <v>34334.36</v>
      </c>
    </row>
    <row r="418" spans="1:11" x14ac:dyDescent="0.25">
      <c r="A418" s="4" t="s">
        <v>460</v>
      </c>
      <c r="B418" s="4" t="s">
        <v>7</v>
      </c>
      <c r="C418" s="4" t="s">
        <v>237</v>
      </c>
      <c r="D418" s="12">
        <v>25</v>
      </c>
      <c r="E418" s="12">
        <v>19</v>
      </c>
      <c r="F418" s="13">
        <v>35461</v>
      </c>
      <c r="G418" s="14">
        <v>0.86</v>
      </c>
      <c r="H418" s="13">
        <v>26148</v>
      </c>
      <c r="I418" s="15">
        <f t="shared" si="18"/>
        <v>0.76</v>
      </c>
      <c r="J418" s="13">
        <f t="shared" si="19"/>
        <v>26950.36</v>
      </c>
      <c r="K418" s="13">
        <f t="shared" si="20"/>
        <v>30496.46</v>
      </c>
    </row>
    <row r="419" spans="1:11" x14ac:dyDescent="0.25">
      <c r="A419" s="4" t="s">
        <v>461</v>
      </c>
      <c r="B419" s="4" t="s">
        <v>7</v>
      </c>
      <c r="C419" s="4" t="s">
        <v>32</v>
      </c>
      <c r="D419" s="12">
        <v>834</v>
      </c>
      <c r="E419" s="12">
        <v>735</v>
      </c>
      <c r="F419" s="13">
        <v>17764</v>
      </c>
      <c r="G419" s="14">
        <v>0.95</v>
      </c>
      <c r="H419" s="13">
        <v>17483</v>
      </c>
      <c r="I419" s="15">
        <f t="shared" si="18"/>
        <v>0.88129496402877694</v>
      </c>
      <c r="J419" s="13">
        <f t="shared" si="19"/>
        <v>15655.323741007194</v>
      </c>
      <c r="K419" s="13">
        <f t="shared" si="20"/>
        <v>16875.8</v>
      </c>
    </row>
    <row r="420" spans="1:11" x14ac:dyDescent="0.25">
      <c r="A420" s="4" t="s">
        <v>462</v>
      </c>
      <c r="B420" s="4" t="s">
        <v>7</v>
      </c>
      <c r="C420" s="4" t="s">
        <v>237</v>
      </c>
      <c r="D420" s="12">
        <v>1</v>
      </c>
      <c r="E420" s="12">
        <v>1</v>
      </c>
      <c r="F420" s="13">
        <v>107239</v>
      </c>
      <c r="G420" s="14">
        <v>1</v>
      </c>
      <c r="H420" s="13">
        <v>115958</v>
      </c>
      <c r="I420" s="15">
        <f t="shared" si="18"/>
        <v>1</v>
      </c>
      <c r="J420" s="13">
        <f t="shared" si="19"/>
        <v>107239</v>
      </c>
      <c r="K420" s="13">
        <f t="shared" si="20"/>
        <v>107239</v>
      </c>
    </row>
    <row r="421" spans="1:11" x14ac:dyDescent="0.25">
      <c r="A421" s="4" t="s">
        <v>463</v>
      </c>
      <c r="B421" s="4" t="s">
        <v>7</v>
      </c>
      <c r="C421" s="4" t="s">
        <v>32</v>
      </c>
      <c r="D421" s="12">
        <v>1549</v>
      </c>
      <c r="E421" s="12">
        <v>1049</v>
      </c>
      <c r="F421" s="13">
        <v>36216</v>
      </c>
      <c r="G421" s="14">
        <v>0.75</v>
      </c>
      <c r="H421" s="13">
        <v>26915</v>
      </c>
      <c r="I421" s="15">
        <f t="shared" si="18"/>
        <v>0.67721110393802453</v>
      </c>
      <c r="J421" s="13">
        <f t="shared" si="19"/>
        <v>24525.877340219497</v>
      </c>
      <c r="K421" s="13">
        <f t="shared" si="20"/>
        <v>27162</v>
      </c>
    </row>
    <row r="422" spans="1:11" x14ac:dyDescent="0.25">
      <c r="A422" s="4" t="s">
        <v>464</v>
      </c>
      <c r="B422" s="4" t="s">
        <v>7</v>
      </c>
      <c r="C422" s="4" t="s">
        <v>237</v>
      </c>
      <c r="D422" s="12">
        <v>1</v>
      </c>
      <c r="E422" s="12">
        <v>1</v>
      </c>
      <c r="F422" s="13">
        <v>99199</v>
      </c>
      <c r="G422" s="14">
        <v>1</v>
      </c>
      <c r="H422" s="13">
        <v>108840</v>
      </c>
      <c r="I422" s="15">
        <f t="shared" si="18"/>
        <v>1</v>
      </c>
      <c r="J422" s="13">
        <f t="shared" si="19"/>
        <v>99199</v>
      </c>
      <c r="K422" s="13">
        <f t="shared" si="20"/>
        <v>99199</v>
      </c>
    </row>
    <row r="423" spans="1:11" x14ac:dyDescent="0.25">
      <c r="A423" s="4" t="s">
        <v>465</v>
      </c>
      <c r="B423" s="4" t="s">
        <v>7</v>
      </c>
      <c r="C423" s="4" t="s">
        <v>27</v>
      </c>
      <c r="D423" s="12">
        <v>1401</v>
      </c>
      <c r="E423" s="12">
        <v>713</v>
      </c>
      <c r="F423" s="13">
        <v>13842</v>
      </c>
      <c r="G423" s="14">
        <v>0.66</v>
      </c>
      <c r="H423" s="13">
        <v>6760</v>
      </c>
      <c r="I423" s="15">
        <f t="shared" si="18"/>
        <v>0.50892219842969311</v>
      </c>
      <c r="J423" s="13">
        <f t="shared" si="19"/>
        <v>7044.5010706638122</v>
      </c>
      <c r="K423" s="13">
        <f t="shared" si="20"/>
        <v>9135.7200000000012</v>
      </c>
    </row>
    <row r="424" spans="1:11" x14ac:dyDescent="0.25">
      <c r="A424" s="4" t="s">
        <v>466</v>
      </c>
      <c r="B424" s="4" t="s">
        <v>7</v>
      </c>
      <c r="C424" s="4" t="s">
        <v>45</v>
      </c>
      <c r="D424" s="12">
        <v>17957</v>
      </c>
      <c r="E424" s="12">
        <v>10188</v>
      </c>
      <c r="F424" s="13">
        <v>17239</v>
      </c>
      <c r="G424" s="14">
        <v>0.75</v>
      </c>
      <c r="H424" s="13">
        <v>9576</v>
      </c>
      <c r="I424" s="15">
        <f t="shared" si="18"/>
        <v>0.56735534888901262</v>
      </c>
      <c r="J424" s="13">
        <f t="shared" si="19"/>
        <v>9780.6388594976888</v>
      </c>
      <c r="K424" s="13">
        <f t="shared" si="20"/>
        <v>12929.25</v>
      </c>
    </row>
    <row r="425" spans="1:11" x14ac:dyDescent="0.25">
      <c r="A425" s="4" t="s">
        <v>467</v>
      </c>
      <c r="B425" s="4" t="s">
        <v>7</v>
      </c>
      <c r="C425" s="4" t="s">
        <v>237</v>
      </c>
      <c r="D425" s="12">
        <v>2</v>
      </c>
      <c r="E425" s="12">
        <v>1</v>
      </c>
      <c r="F425" s="13">
        <v>256200</v>
      </c>
      <c r="G425" s="14">
        <v>0.6</v>
      </c>
      <c r="H425" s="13">
        <v>138855</v>
      </c>
      <c r="I425" s="15">
        <f t="shared" si="18"/>
        <v>0.5</v>
      </c>
      <c r="J425" s="13">
        <f t="shared" si="19"/>
        <v>128100</v>
      </c>
      <c r="K425" s="13">
        <f t="shared" si="20"/>
        <v>153720</v>
      </c>
    </row>
    <row r="426" spans="1:11" x14ac:dyDescent="0.25">
      <c r="A426" s="4" t="s">
        <v>468</v>
      </c>
      <c r="B426" s="4" t="s">
        <v>7</v>
      </c>
      <c r="C426" s="4" t="s">
        <v>237</v>
      </c>
      <c r="D426" s="12">
        <v>43</v>
      </c>
      <c r="E426" s="12">
        <v>24</v>
      </c>
      <c r="F426" s="13">
        <v>34179</v>
      </c>
      <c r="G426" s="14">
        <v>0.7</v>
      </c>
      <c r="H426" s="13">
        <v>21572</v>
      </c>
      <c r="I426" s="15">
        <f t="shared" si="18"/>
        <v>0.55813953488372092</v>
      </c>
      <c r="J426" s="13">
        <f t="shared" si="19"/>
        <v>19076.651162790698</v>
      </c>
      <c r="K426" s="13">
        <f t="shared" si="20"/>
        <v>23925.3</v>
      </c>
    </row>
    <row r="427" spans="1:11" x14ac:dyDescent="0.25">
      <c r="A427" s="4" t="s">
        <v>469</v>
      </c>
      <c r="B427" s="4" t="s">
        <v>7</v>
      </c>
      <c r="C427" s="4" t="s">
        <v>240</v>
      </c>
      <c r="D427" s="12">
        <v>542</v>
      </c>
      <c r="E427" s="12">
        <v>296</v>
      </c>
      <c r="F427" s="13">
        <v>32710</v>
      </c>
      <c r="G427" s="14">
        <v>0.73</v>
      </c>
      <c r="H427" s="13">
        <v>19963</v>
      </c>
      <c r="I427" s="15">
        <f t="shared" si="18"/>
        <v>0.54612546125461259</v>
      </c>
      <c r="J427" s="13">
        <f t="shared" si="19"/>
        <v>17863.763837638377</v>
      </c>
      <c r="K427" s="13">
        <f t="shared" si="20"/>
        <v>23878.3</v>
      </c>
    </row>
    <row r="428" spans="1:11" x14ac:dyDescent="0.25">
      <c r="A428" s="4" t="s">
        <v>470</v>
      </c>
      <c r="B428" s="4" t="s">
        <v>7</v>
      </c>
      <c r="C428" s="4" t="s">
        <v>27</v>
      </c>
      <c r="D428" s="12">
        <v>1197</v>
      </c>
      <c r="E428" s="12">
        <v>605</v>
      </c>
      <c r="F428" s="13">
        <v>14113</v>
      </c>
      <c r="G428" s="14">
        <v>0.63</v>
      </c>
      <c r="H428" s="13">
        <v>7962</v>
      </c>
      <c r="I428" s="15">
        <f t="shared" si="18"/>
        <v>0.50543024227234756</v>
      </c>
      <c r="J428" s="13">
        <f t="shared" si="19"/>
        <v>7133.1370091896415</v>
      </c>
      <c r="K428" s="13">
        <f t="shared" si="20"/>
        <v>8891.19</v>
      </c>
    </row>
    <row r="429" spans="1:11" x14ac:dyDescent="0.25">
      <c r="A429" s="4" t="s">
        <v>471</v>
      </c>
      <c r="B429" s="4" t="s">
        <v>7</v>
      </c>
      <c r="C429" s="4" t="s">
        <v>32</v>
      </c>
      <c r="D429" s="12">
        <v>891</v>
      </c>
      <c r="E429" s="12">
        <v>619</v>
      </c>
      <c r="F429" s="13">
        <v>4170</v>
      </c>
      <c r="G429" s="14">
        <v>0.78</v>
      </c>
      <c r="H429" s="13">
        <v>3164</v>
      </c>
      <c r="I429" s="15">
        <f t="shared" si="18"/>
        <v>0.69472502805836134</v>
      </c>
      <c r="J429" s="13">
        <f t="shared" si="19"/>
        <v>2897.0033670033667</v>
      </c>
      <c r="K429" s="13">
        <f t="shared" si="20"/>
        <v>3252.6</v>
      </c>
    </row>
    <row r="430" spans="1:11" x14ac:dyDescent="0.25">
      <c r="A430" s="4" t="s">
        <v>472</v>
      </c>
      <c r="B430" s="4" t="s">
        <v>7</v>
      </c>
      <c r="C430" s="4" t="s">
        <v>45</v>
      </c>
      <c r="D430" s="12">
        <v>14443</v>
      </c>
      <c r="E430" s="12">
        <v>11515</v>
      </c>
      <c r="F430" s="13">
        <v>17909</v>
      </c>
      <c r="G430" s="14">
        <v>0.9</v>
      </c>
      <c r="H430" s="13">
        <v>14803</v>
      </c>
      <c r="I430" s="15">
        <f t="shared" si="18"/>
        <v>0.79727203489579723</v>
      </c>
      <c r="J430" s="13">
        <f t="shared" si="19"/>
        <v>14278.344872948832</v>
      </c>
      <c r="K430" s="13">
        <f t="shared" si="20"/>
        <v>16118.1</v>
      </c>
    </row>
    <row r="431" spans="1:11" x14ac:dyDescent="0.25">
      <c r="A431" s="4" t="s">
        <v>473</v>
      </c>
      <c r="B431" s="4" t="s">
        <v>7</v>
      </c>
      <c r="C431" s="4" t="s">
        <v>237</v>
      </c>
      <c r="D431" s="12">
        <v>2</v>
      </c>
      <c r="E431" s="12">
        <v>1</v>
      </c>
      <c r="F431" s="13">
        <v>195219</v>
      </c>
      <c r="G431" s="14">
        <v>0.63</v>
      </c>
      <c r="H431" s="13">
        <v>109280</v>
      </c>
      <c r="I431" s="15">
        <f t="shared" si="18"/>
        <v>0.5</v>
      </c>
      <c r="J431" s="13">
        <f t="shared" si="19"/>
        <v>97609.5</v>
      </c>
      <c r="K431" s="13">
        <f t="shared" si="20"/>
        <v>122987.97</v>
      </c>
    </row>
    <row r="432" spans="1:11" x14ac:dyDescent="0.25">
      <c r="A432" s="4" t="s">
        <v>474</v>
      </c>
      <c r="B432" s="4" t="s">
        <v>7</v>
      </c>
      <c r="C432" s="4" t="s">
        <v>32</v>
      </c>
      <c r="D432" s="12">
        <v>1363</v>
      </c>
      <c r="E432" s="12">
        <v>804</v>
      </c>
      <c r="F432" s="13">
        <v>40917</v>
      </c>
      <c r="G432" s="14">
        <v>0.69</v>
      </c>
      <c r="H432" s="13">
        <v>25600</v>
      </c>
      <c r="I432" s="15">
        <f t="shared" si="18"/>
        <v>0.58987527512839322</v>
      </c>
      <c r="J432" s="13">
        <f t="shared" si="19"/>
        <v>24135.926632428465</v>
      </c>
      <c r="K432" s="13">
        <f t="shared" si="20"/>
        <v>28232.73</v>
      </c>
    </row>
    <row r="433" spans="1:11" x14ac:dyDescent="0.25">
      <c r="A433" s="4" t="s">
        <v>475</v>
      </c>
      <c r="B433" s="4" t="s">
        <v>7</v>
      </c>
      <c r="C433" s="4" t="s">
        <v>237</v>
      </c>
      <c r="D433" s="12">
        <v>1</v>
      </c>
      <c r="E433" s="12">
        <v>0</v>
      </c>
      <c r="F433" s="13">
        <v>135974</v>
      </c>
      <c r="G433" s="14">
        <v>7.0000000000000007E-2</v>
      </c>
      <c r="H433" s="13">
        <v>0</v>
      </c>
      <c r="I433" s="15">
        <f t="shared" si="18"/>
        <v>0</v>
      </c>
      <c r="J433" s="13">
        <f t="shared" si="19"/>
        <v>0</v>
      </c>
      <c r="K433" s="13">
        <f t="shared" si="20"/>
        <v>9518.18</v>
      </c>
    </row>
    <row r="434" spans="1:11" x14ac:dyDescent="0.25">
      <c r="A434" s="4" t="s">
        <v>476</v>
      </c>
      <c r="B434" s="4" t="s">
        <v>7</v>
      </c>
      <c r="C434" s="4" t="s">
        <v>240</v>
      </c>
      <c r="D434" s="12">
        <v>2664</v>
      </c>
      <c r="E434" s="12">
        <v>2219</v>
      </c>
      <c r="F434" s="13">
        <v>194232</v>
      </c>
      <c r="G434" s="14">
        <v>0.92</v>
      </c>
      <c r="H434" s="13">
        <v>159466</v>
      </c>
      <c r="I434" s="15">
        <f t="shared" si="18"/>
        <v>0.83295795795795791</v>
      </c>
      <c r="J434" s="13">
        <f t="shared" si="19"/>
        <v>161787.09009009009</v>
      </c>
      <c r="K434" s="13">
        <f t="shared" si="20"/>
        <v>178693.44</v>
      </c>
    </row>
    <row r="435" spans="1:11" x14ac:dyDescent="0.25">
      <c r="A435" s="4" t="s">
        <v>477</v>
      </c>
      <c r="B435" s="4" t="s">
        <v>7</v>
      </c>
      <c r="C435" s="4" t="s">
        <v>45</v>
      </c>
      <c r="D435" s="12">
        <v>29767</v>
      </c>
      <c r="E435" s="12">
        <v>22273</v>
      </c>
      <c r="F435" s="13">
        <v>36018</v>
      </c>
      <c r="G435" s="14">
        <v>0.81</v>
      </c>
      <c r="H435" s="13">
        <v>25977</v>
      </c>
      <c r="I435" s="15">
        <f t="shared" si="18"/>
        <v>0.74824470050727321</v>
      </c>
      <c r="J435" s="13">
        <f t="shared" si="19"/>
        <v>26950.277622870966</v>
      </c>
      <c r="K435" s="13">
        <f t="shared" si="20"/>
        <v>29174.58</v>
      </c>
    </row>
    <row r="436" spans="1:11" x14ac:dyDescent="0.25">
      <c r="A436" s="4" t="s">
        <v>478</v>
      </c>
      <c r="B436" s="4" t="s">
        <v>7</v>
      </c>
      <c r="C436" s="4" t="s">
        <v>27</v>
      </c>
      <c r="D436" s="12">
        <v>314</v>
      </c>
      <c r="E436" s="12">
        <v>221</v>
      </c>
      <c r="F436" s="13">
        <v>2368</v>
      </c>
      <c r="G436" s="14">
        <v>0.8</v>
      </c>
      <c r="H436" s="13">
        <v>1773</v>
      </c>
      <c r="I436" s="15">
        <f t="shared" si="18"/>
        <v>0.70382165605095537</v>
      </c>
      <c r="J436" s="13">
        <f t="shared" si="19"/>
        <v>1666.6496815286623</v>
      </c>
      <c r="K436" s="13">
        <f t="shared" si="20"/>
        <v>1894.4</v>
      </c>
    </row>
    <row r="437" spans="1:11" x14ac:dyDescent="0.25">
      <c r="A437" s="4" t="s">
        <v>479</v>
      </c>
      <c r="B437" s="4" t="s">
        <v>7</v>
      </c>
      <c r="C437" s="4" t="s">
        <v>240</v>
      </c>
      <c r="D437" s="12">
        <v>1214</v>
      </c>
      <c r="E437" s="12">
        <v>820</v>
      </c>
      <c r="F437" s="13">
        <v>78509</v>
      </c>
      <c r="G437" s="14">
        <v>0.76</v>
      </c>
      <c r="H437" s="13">
        <v>50653</v>
      </c>
      <c r="I437" s="15">
        <f t="shared" si="18"/>
        <v>0.67545304777594728</v>
      </c>
      <c r="J437" s="13">
        <f t="shared" si="19"/>
        <v>53029.143327841848</v>
      </c>
      <c r="K437" s="13">
        <f t="shared" si="20"/>
        <v>59666.840000000004</v>
      </c>
    </row>
    <row r="438" spans="1:11" x14ac:dyDescent="0.25">
      <c r="A438" s="4" t="s">
        <v>480</v>
      </c>
      <c r="B438" s="4" t="s">
        <v>7</v>
      </c>
      <c r="C438" s="4" t="s">
        <v>27</v>
      </c>
      <c r="D438" s="12">
        <v>1752</v>
      </c>
      <c r="E438" s="12">
        <v>840</v>
      </c>
      <c r="F438" s="13">
        <v>18063</v>
      </c>
      <c r="G438" s="14">
        <v>0.56999999999999995</v>
      </c>
      <c r="H438" s="13">
        <v>9337</v>
      </c>
      <c r="I438" s="15">
        <f t="shared" si="18"/>
        <v>0.47945205479452052</v>
      </c>
      <c r="J438" s="13">
        <f t="shared" si="19"/>
        <v>8660.3424657534233</v>
      </c>
      <c r="K438" s="13">
        <f t="shared" si="20"/>
        <v>10295.91</v>
      </c>
    </row>
    <row r="439" spans="1:11" x14ac:dyDescent="0.25">
      <c r="A439" s="4" t="s">
        <v>481</v>
      </c>
      <c r="B439" s="4" t="s">
        <v>7</v>
      </c>
      <c r="C439" s="4" t="s">
        <v>32</v>
      </c>
      <c r="D439" s="12">
        <v>1922</v>
      </c>
      <c r="E439" s="12">
        <v>1061</v>
      </c>
      <c r="F439" s="13">
        <v>37844</v>
      </c>
      <c r="G439" s="14">
        <v>0.61</v>
      </c>
      <c r="H439" s="13">
        <v>22517</v>
      </c>
      <c r="I439" s="15">
        <f t="shared" si="18"/>
        <v>0.5520291363163371</v>
      </c>
      <c r="J439" s="13">
        <f t="shared" si="19"/>
        <v>20890.990634755461</v>
      </c>
      <c r="K439" s="13">
        <f t="shared" si="20"/>
        <v>23084.84</v>
      </c>
    </row>
    <row r="440" spans="1:11" x14ac:dyDescent="0.25">
      <c r="A440" s="4" t="s">
        <v>482</v>
      </c>
      <c r="B440" s="4" t="s">
        <v>7</v>
      </c>
      <c r="C440" s="4" t="s">
        <v>32</v>
      </c>
      <c r="D440" s="12">
        <v>2371</v>
      </c>
      <c r="E440" s="12">
        <v>1832</v>
      </c>
      <c r="F440" s="13">
        <v>50787</v>
      </c>
      <c r="G440" s="14">
        <v>0.86</v>
      </c>
      <c r="H440" s="13">
        <v>44022</v>
      </c>
      <c r="I440" s="15">
        <f t="shared" si="18"/>
        <v>0.77266975959510753</v>
      </c>
      <c r="J440" s="13">
        <f t="shared" si="19"/>
        <v>39241.579080556723</v>
      </c>
      <c r="K440" s="13">
        <f t="shared" si="20"/>
        <v>43676.82</v>
      </c>
    </row>
    <row r="441" spans="1:11" x14ac:dyDescent="0.25">
      <c r="A441" s="4" t="s">
        <v>483</v>
      </c>
      <c r="B441" s="4" t="s">
        <v>7</v>
      </c>
      <c r="C441" s="4" t="s">
        <v>237</v>
      </c>
      <c r="D441" s="12">
        <v>38</v>
      </c>
      <c r="E441" s="12">
        <v>24</v>
      </c>
      <c r="F441" s="13">
        <v>53538</v>
      </c>
      <c r="G441" s="14">
        <v>0.82</v>
      </c>
      <c r="H441" s="13">
        <v>38017</v>
      </c>
      <c r="I441" s="15">
        <f t="shared" si="18"/>
        <v>0.63157894736842102</v>
      </c>
      <c r="J441" s="13">
        <f t="shared" si="19"/>
        <v>33813.473684210527</v>
      </c>
      <c r="K441" s="13">
        <f t="shared" si="20"/>
        <v>43901.159999999996</v>
      </c>
    </row>
    <row r="442" spans="1:11" x14ac:dyDescent="0.25">
      <c r="A442" s="4" t="s">
        <v>484</v>
      </c>
      <c r="B442" s="4" t="s">
        <v>7</v>
      </c>
      <c r="C442" s="4" t="s">
        <v>27</v>
      </c>
      <c r="D442" s="12">
        <v>1668</v>
      </c>
      <c r="E442" s="12">
        <v>1332</v>
      </c>
      <c r="F442" s="13">
        <v>19382</v>
      </c>
      <c r="G442" s="14">
        <v>0.98</v>
      </c>
      <c r="H442" s="13">
        <v>14667</v>
      </c>
      <c r="I442" s="15">
        <f t="shared" si="18"/>
        <v>0.79856115107913672</v>
      </c>
      <c r="J442" s="13">
        <f t="shared" si="19"/>
        <v>15477.712230215828</v>
      </c>
      <c r="K442" s="13">
        <f t="shared" si="20"/>
        <v>18994.36</v>
      </c>
    </row>
    <row r="443" spans="1:11" x14ac:dyDescent="0.25">
      <c r="A443" s="4" t="s">
        <v>485</v>
      </c>
      <c r="B443" s="4" t="s">
        <v>7</v>
      </c>
      <c r="C443" s="4" t="s">
        <v>237</v>
      </c>
      <c r="D443" s="12">
        <v>1</v>
      </c>
      <c r="E443" s="12">
        <v>1</v>
      </c>
      <c r="F443" s="13">
        <v>66535</v>
      </c>
      <c r="G443" s="14">
        <v>1</v>
      </c>
      <c r="H443" s="13">
        <v>73624</v>
      </c>
      <c r="I443" s="15">
        <f t="shared" si="18"/>
        <v>1</v>
      </c>
      <c r="J443" s="13">
        <f t="shared" si="19"/>
        <v>66535</v>
      </c>
      <c r="K443" s="13">
        <f t="shared" si="20"/>
        <v>66535</v>
      </c>
    </row>
    <row r="444" spans="1:11" x14ac:dyDescent="0.25">
      <c r="A444" s="4" t="s">
        <v>486</v>
      </c>
      <c r="B444" s="4" t="s">
        <v>7</v>
      </c>
      <c r="C444" s="4" t="s">
        <v>32</v>
      </c>
      <c r="D444" s="12">
        <v>972</v>
      </c>
      <c r="E444" s="12">
        <v>495</v>
      </c>
      <c r="F444" s="13">
        <v>26263</v>
      </c>
      <c r="G444" s="14">
        <v>0.59</v>
      </c>
      <c r="H444" s="13">
        <v>12907</v>
      </c>
      <c r="I444" s="15">
        <f t="shared" si="18"/>
        <v>0.5092592592592593</v>
      </c>
      <c r="J444" s="13">
        <f t="shared" si="19"/>
        <v>13374.675925925927</v>
      </c>
      <c r="K444" s="13">
        <f t="shared" si="20"/>
        <v>15495.17</v>
      </c>
    </row>
    <row r="445" spans="1:11" x14ac:dyDescent="0.25">
      <c r="A445" s="4" t="s">
        <v>487</v>
      </c>
      <c r="B445" s="4" t="s">
        <v>7</v>
      </c>
      <c r="C445" s="4" t="s">
        <v>32</v>
      </c>
      <c r="D445" s="12">
        <v>489</v>
      </c>
      <c r="E445" s="12">
        <v>227</v>
      </c>
      <c r="F445" s="13">
        <v>2166</v>
      </c>
      <c r="G445" s="14">
        <v>0.61</v>
      </c>
      <c r="H445" s="13">
        <v>1071</v>
      </c>
      <c r="I445" s="15">
        <f t="shared" si="18"/>
        <v>0.46421267893660534</v>
      </c>
      <c r="J445" s="13">
        <f t="shared" si="19"/>
        <v>1005.4846625766871</v>
      </c>
      <c r="K445" s="13">
        <f t="shared" si="20"/>
        <v>1321.26</v>
      </c>
    </row>
    <row r="446" spans="1:11" x14ac:dyDescent="0.25">
      <c r="A446" s="4" t="s">
        <v>488</v>
      </c>
      <c r="B446" s="4" t="s">
        <v>7</v>
      </c>
      <c r="C446" s="4" t="s">
        <v>32</v>
      </c>
      <c r="D446" s="12">
        <v>1721</v>
      </c>
      <c r="E446" s="12">
        <v>1288</v>
      </c>
      <c r="F446" s="13">
        <v>47586</v>
      </c>
      <c r="G446" s="14">
        <v>0.84</v>
      </c>
      <c r="H446" s="13">
        <v>36703</v>
      </c>
      <c r="I446" s="15">
        <f t="shared" si="18"/>
        <v>0.74840209180708894</v>
      </c>
      <c r="J446" s="13">
        <f t="shared" si="19"/>
        <v>35613.461940732137</v>
      </c>
      <c r="K446" s="13">
        <f t="shared" si="20"/>
        <v>39972.239999999998</v>
      </c>
    </row>
    <row r="447" spans="1:11" x14ac:dyDescent="0.25">
      <c r="A447" s="4" t="s">
        <v>489</v>
      </c>
      <c r="B447" s="4" t="s">
        <v>7</v>
      </c>
      <c r="C447" s="4" t="s">
        <v>237</v>
      </c>
      <c r="D447" s="12">
        <v>2</v>
      </c>
      <c r="E447" s="12">
        <v>1</v>
      </c>
      <c r="F447" s="13">
        <v>189446</v>
      </c>
      <c r="G447" s="14">
        <v>0.65</v>
      </c>
      <c r="H447" s="13">
        <v>104621</v>
      </c>
      <c r="I447" s="15">
        <f t="shared" si="18"/>
        <v>0.5</v>
      </c>
      <c r="J447" s="13">
        <f t="shared" si="19"/>
        <v>94723</v>
      </c>
      <c r="K447" s="13">
        <f t="shared" si="20"/>
        <v>123139.90000000001</v>
      </c>
    </row>
    <row r="448" spans="1:11" x14ac:dyDescent="0.25">
      <c r="A448" s="4" t="s">
        <v>490</v>
      </c>
      <c r="B448" s="4" t="s">
        <v>7</v>
      </c>
      <c r="C448" s="4" t="s">
        <v>240</v>
      </c>
      <c r="D448" s="12">
        <v>1138</v>
      </c>
      <c r="E448" s="12">
        <v>870</v>
      </c>
      <c r="F448" s="13">
        <v>75108</v>
      </c>
      <c r="G448" s="14">
        <v>0.84</v>
      </c>
      <c r="H448" s="13">
        <v>58063</v>
      </c>
      <c r="I448" s="15">
        <f t="shared" si="18"/>
        <v>0.76449912126537789</v>
      </c>
      <c r="J448" s="13">
        <f t="shared" si="19"/>
        <v>57420</v>
      </c>
      <c r="K448" s="13">
        <f t="shared" si="20"/>
        <v>63090.720000000001</v>
      </c>
    </row>
    <row r="449" spans="1:11" x14ac:dyDescent="0.25">
      <c r="A449" s="4" t="s">
        <v>491</v>
      </c>
      <c r="B449" s="4" t="s">
        <v>7</v>
      </c>
      <c r="C449" s="4" t="s">
        <v>237</v>
      </c>
      <c r="D449" s="12">
        <v>2</v>
      </c>
      <c r="E449" s="12">
        <v>2</v>
      </c>
      <c r="F449" s="13">
        <v>260537</v>
      </c>
      <c r="G449" s="14">
        <v>1</v>
      </c>
      <c r="H449" s="13">
        <v>246226</v>
      </c>
      <c r="I449" s="15">
        <f t="shared" si="18"/>
        <v>1</v>
      </c>
      <c r="J449" s="13">
        <f t="shared" si="19"/>
        <v>260537</v>
      </c>
      <c r="K449" s="13">
        <f t="shared" si="20"/>
        <v>260537</v>
      </c>
    </row>
    <row r="450" spans="1:11" x14ac:dyDescent="0.25">
      <c r="A450" s="4" t="s">
        <v>492</v>
      </c>
      <c r="B450" s="4" t="s">
        <v>7</v>
      </c>
      <c r="C450" s="4" t="s">
        <v>32</v>
      </c>
      <c r="D450" s="12">
        <v>2086</v>
      </c>
      <c r="E450" s="12">
        <v>1269</v>
      </c>
      <c r="F450" s="13">
        <v>6675</v>
      </c>
      <c r="G450" s="14">
        <v>0.75</v>
      </c>
      <c r="H450" s="13">
        <v>3962</v>
      </c>
      <c r="I450" s="15">
        <f t="shared" si="18"/>
        <v>0.60834132310642375</v>
      </c>
      <c r="J450" s="13">
        <f t="shared" si="19"/>
        <v>4060.6783317353784</v>
      </c>
      <c r="K450" s="13">
        <f t="shared" si="20"/>
        <v>5006.25</v>
      </c>
    </row>
    <row r="451" spans="1:11" x14ac:dyDescent="0.25">
      <c r="A451" s="4" t="s">
        <v>493</v>
      </c>
      <c r="B451" s="4" t="s">
        <v>7</v>
      </c>
      <c r="C451" s="4" t="s">
        <v>45</v>
      </c>
      <c r="D451" s="12">
        <v>22710</v>
      </c>
      <c r="E451" s="12">
        <v>12076</v>
      </c>
      <c r="F451" s="13">
        <v>32021</v>
      </c>
      <c r="G451" s="14">
        <v>0.59</v>
      </c>
      <c r="H451" s="13">
        <v>16772</v>
      </c>
      <c r="I451" s="15">
        <f t="shared" si="18"/>
        <v>0.53174812857771903</v>
      </c>
      <c r="J451" s="13">
        <f t="shared" si="19"/>
        <v>17027.10682518714</v>
      </c>
      <c r="K451" s="13">
        <f t="shared" si="20"/>
        <v>18892.39</v>
      </c>
    </row>
    <row r="452" spans="1:11" x14ac:dyDescent="0.25">
      <c r="A452" s="4" t="s">
        <v>494</v>
      </c>
      <c r="B452" s="4" t="s">
        <v>7</v>
      </c>
      <c r="C452" s="4" t="s">
        <v>237</v>
      </c>
      <c r="D452" s="12">
        <v>2</v>
      </c>
      <c r="E452" s="12">
        <v>2</v>
      </c>
      <c r="F452" s="13">
        <v>199496</v>
      </c>
      <c r="G452" s="14">
        <v>1</v>
      </c>
      <c r="H452" s="13">
        <v>193496</v>
      </c>
      <c r="I452" s="15">
        <f t="shared" si="18"/>
        <v>1</v>
      </c>
      <c r="J452" s="13">
        <f t="shared" si="19"/>
        <v>199496</v>
      </c>
      <c r="K452" s="13">
        <f t="shared" si="20"/>
        <v>199496</v>
      </c>
    </row>
    <row r="453" spans="1:11" x14ac:dyDescent="0.25">
      <c r="A453" s="4" t="s">
        <v>495</v>
      </c>
      <c r="B453" s="4" t="s">
        <v>7</v>
      </c>
      <c r="C453" s="4" t="s">
        <v>27</v>
      </c>
      <c r="D453" s="12">
        <v>1188</v>
      </c>
      <c r="E453" s="12">
        <v>927</v>
      </c>
      <c r="F453" s="13">
        <v>9041</v>
      </c>
      <c r="G453" s="14">
        <v>0.93</v>
      </c>
      <c r="H453" s="13">
        <v>7379</v>
      </c>
      <c r="I453" s="15">
        <f t="shared" ref="I453:I516" si="21">IF(D453&gt;0,MIN(E453/D453,1),0)</f>
        <v>0.78030303030303028</v>
      </c>
      <c r="J453" s="13">
        <f t="shared" ref="J453:J516" si="22">F453*I453</f>
        <v>7054.719696969697</v>
      </c>
      <c r="K453" s="13">
        <f t="shared" ref="K453:K516" si="23">F453*G453</f>
        <v>8408.130000000001</v>
      </c>
    </row>
    <row r="454" spans="1:11" x14ac:dyDescent="0.25">
      <c r="A454" s="4" t="s">
        <v>496</v>
      </c>
      <c r="B454" s="4" t="s">
        <v>7</v>
      </c>
      <c r="C454" s="4" t="s">
        <v>240</v>
      </c>
      <c r="D454" s="12">
        <v>2984</v>
      </c>
      <c r="E454" s="12">
        <v>1397</v>
      </c>
      <c r="F454" s="13">
        <v>216519</v>
      </c>
      <c r="G454" s="14">
        <v>0.51</v>
      </c>
      <c r="H454" s="13">
        <v>108631</v>
      </c>
      <c r="I454" s="15">
        <f t="shared" si="21"/>
        <v>0.46816353887399464</v>
      </c>
      <c r="J454" s="13">
        <f t="shared" si="22"/>
        <v>101366.30127345845</v>
      </c>
      <c r="K454" s="13">
        <f t="shared" si="23"/>
        <v>110424.69</v>
      </c>
    </row>
    <row r="455" spans="1:11" x14ac:dyDescent="0.25">
      <c r="A455" s="4" t="s">
        <v>497</v>
      </c>
      <c r="B455" s="4" t="s">
        <v>7</v>
      </c>
      <c r="C455" s="4" t="s">
        <v>237</v>
      </c>
      <c r="D455" s="12">
        <v>91</v>
      </c>
      <c r="E455" s="12">
        <v>48</v>
      </c>
      <c r="F455" s="13">
        <v>82679</v>
      </c>
      <c r="G455" s="14">
        <v>0.6</v>
      </c>
      <c r="H455" s="13">
        <v>49390</v>
      </c>
      <c r="I455" s="15">
        <f t="shared" si="21"/>
        <v>0.52747252747252749</v>
      </c>
      <c r="J455" s="13">
        <f t="shared" si="22"/>
        <v>43610.9010989011</v>
      </c>
      <c r="K455" s="13">
        <f t="shared" si="23"/>
        <v>49607.4</v>
      </c>
    </row>
    <row r="456" spans="1:11" x14ac:dyDescent="0.25">
      <c r="A456" s="4" t="s">
        <v>498</v>
      </c>
      <c r="B456" s="4" t="s">
        <v>7</v>
      </c>
      <c r="C456" s="4" t="s">
        <v>237</v>
      </c>
      <c r="D456" s="12">
        <v>2</v>
      </c>
      <c r="E456" s="12">
        <v>1</v>
      </c>
      <c r="F456" s="13">
        <v>278001</v>
      </c>
      <c r="G456" s="14">
        <v>0.6</v>
      </c>
      <c r="H456" s="13">
        <v>148497</v>
      </c>
      <c r="I456" s="15">
        <f t="shared" si="21"/>
        <v>0.5</v>
      </c>
      <c r="J456" s="13">
        <f t="shared" si="22"/>
        <v>139000.5</v>
      </c>
      <c r="K456" s="13">
        <f t="shared" si="23"/>
        <v>166800.6</v>
      </c>
    </row>
    <row r="457" spans="1:11" x14ac:dyDescent="0.25">
      <c r="A457" s="4" t="s">
        <v>499</v>
      </c>
      <c r="B457" s="4" t="s">
        <v>7</v>
      </c>
      <c r="C457" s="4" t="s">
        <v>32</v>
      </c>
      <c r="D457" s="12">
        <v>1471</v>
      </c>
      <c r="E457" s="12">
        <v>688</v>
      </c>
      <c r="F457" s="13">
        <v>8267</v>
      </c>
      <c r="G457" s="14">
        <v>0.56000000000000005</v>
      </c>
      <c r="H457" s="13">
        <v>4330</v>
      </c>
      <c r="I457" s="15">
        <f t="shared" si="21"/>
        <v>0.46770904146838888</v>
      </c>
      <c r="J457" s="13">
        <f t="shared" si="22"/>
        <v>3866.5506458191708</v>
      </c>
      <c r="K457" s="13">
        <f t="shared" si="23"/>
        <v>4629.5200000000004</v>
      </c>
    </row>
    <row r="458" spans="1:11" x14ac:dyDescent="0.25">
      <c r="A458" s="4" t="s">
        <v>500</v>
      </c>
      <c r="B458" s="4" t="s">
        <v>7</v>
      </c>
      <c r="C458" s="4" t="s">
        <v>237</v>
      </c>
      <c r="D458" s="12">
        <v>2</v>
      </c>
      <c r="E458" s="12">
        <v>1</v>
      </c>
      <c r="F458" s="13">
        <v>210665</v>
      </c>
      <c r="G458" s="14">
        <v>0.56999999999999995</v>
      </c>
      <c r="H458" s="13">
        <v>109148</v>
      </c>
      <c r="I458" s="15">
        <f t="shared" si="21"/>
        <v>0.5</v>
      </c>
      <c r="J458" s="13">
        <f t="shared" si="22"/>
        <v>105332.5</v>
      </c>
      <c r="K458" s="13">
        <f t="shared" si="23"/>
        <v>120079.04999999999</v>
      </c>
    </row>
    <row r="459" spans="1:11" x14ac:dyDescent="0.25">
      <c r="A459" s="4" t="s">
        <v>501</v>
      </c>
      <c r="B459" s="4" t="s">
        <v>7</v>
      </c>
      <c r="C459" s="4" t="s">
        <v>240</v>
      </c>
      <c r="D459" s="12">
        <v>1602</v>
      </c>
      <c r="E459" s="12">
        <v>1326</v>
      </c>
      <c r="F459" s="13">
        <v>72747</v>
      </c>
      <c r="G459" s="14">
        <v>0.96</v>
      </c>
      <c r="H459" s="13">
        <v>67518</v>
      </c>
      <c r="I459" s="15">
        <f t="shared" si="21"/>
        <v>0.82771535580524347</v>
      </c>
      <c r="J459" s="13">
        <f t="shared" si="22"/>
        <v>60213.808988764045</v>
      </c>
      <c r="K459" s="13">
        <f t="shared" si="23"/>
        <v>69837.119999999995</v>
      </c>
    </row>
    <row r="460" spans="1:11" x14ac:dyDescent="0.25">
      <c r="A460" s="4" t="s">
        <v>502</v>
      </c>
      <c r="B460" s="4" t="s">
        <v>7</v>
      </c>
      <c r="C460" s="4" t="s">
        <v>240</v>
      </c>
      <c r="D460" s="12">
        <v>2210</v>
      </c>
      <c r="E460" s="12">
        <v>1707</v>
      </c>
      <c r="F460" s="13">
        <v>153330</v>
      </c>
      <c r="G460" s="14">
        <v>0.85</v>
      </c>
      <c r="H460" s="13">
        <v>130517</v>
      </c>
      <c r="I460" s="15">
        <f t="shared" si="21"/>
        <v>0.7723981900452489</v>
      </c>
      <c r="J460" s="13">
        <f t="shared" si="22"/>
        <v>118431.81447963801</v>
      </c>
      <c r="K460" s="13">
        <f t="shared" si="23"/>
        <v>130330.5</v>
      </c>
    </row>
    <row r="461" spans="1:11" x14ac:dyDescent="0.25">
      <c r="A461" s="4" t="s">
        <v>503</v>
      </c>
      <c r="B461" s="4" t="s">
        <v>7</v>
      </c>
      <c r="C461" s="4" t="s">
        <v>237</v>
      </c>
      <c r="D461" s="12">
        <v>2</v>
      </c>
      <c r="E461" s="12">
        <v>1</v>
      </c>
      <c r="F461" s="13">
        <v>120874</v>
      </c>
      <c r="G461" s="14">
        <v>0.65</v>
      </c>
      <c r="H461" s="13">
        <v>59084</v>
      </c>
      <c r="I461" s="15">
        <f t="shared" si="21"/>
        <v>0.5</v>
      </c>
      <c r="J461" s="13">
        <f t="shared" si="22"/>
        <v>60437</v>
      </c>
      <c r="K461" s="13">
        <f t="shared" si="23"/>
        <v>78568.100000000006</v>
      </c>
    </row>
    <row r="462" spans="1:11" x14ac:dyDescent="0.25">
      <c r="A462" s="4" t="s">
        <v>504</v>
      </c>
      <c r="B462" s="4" t="s">
        <v>7</v>
      </c>
      <c r="C462" s="4" t="s">
        <v>45</v>
      </c>
      <c r="D462" s="12">
        <v>10088</v>
      </c>
      <c r="E462" s="12">
        <v>6124</v>
      </c>
      <c r="F462" s="13">
        <v>11645</v>
      </c>
      <c r="G462" s="14">
        <v>0.65</v>
      </c>
      <c r="H462" s="13">
        <v>7353</v>
      </c>
      <c r="I462" s="15">
        <f t="shared" si="21"/>
        <v>0.60705789056304515</v>
      </c>
      <c r="J462" s="13">
        <f t="shared" si="22"/>
        <v>7069.1891356066608</v>
      </c>
      <c r="K462" s="13">
        <f t="shared" si="23"/>
        <v>7569.25</v>
      </c>
    </row>
    <row r="463" spans="1:11" x14ac:dyDescent="0.25">
      <c r="A463" s="4" t="s">
        <v>505</v>
      </c>
      <c r="B463" s="4" t="s">
        <v>9</v>
      </c>
      <c r="C463" s="4" t="s">
        <v>32</v>
      </c>
      <c r="D463" s="12">
        <v>1672</v>
      </c>
      <c r="E463" s="12">
        <v>779</v>
      </c>
      <c r="F463" s="13">
        <v>17589</v>
      </c>
      <c r="G463" s="14">
        <v>0.65</v>
      </c>
      <c r="H463" s="13">
        <v>8498</v>
      </c>
      <c r="I463" s="15">
        <f t="shared" si="21"/>
        <v>0.46590909090909088</v>
      </c>
      <c r="J463" s="13">
        <f t="shared" si="22"/>
        <v>8194.875</v>
      </c>
      <c r="K463" s="13">
        <f t="shared" si="23"/>
        <v>11432.85</v>
      </c>
    </row>
    <row r="464" spans="1:11" x14ac:dyDescent="0.25">
      <c r="A464" s="4" t="s">
        <v>506</v>
      </c>
      <c r="B464" s="4" t="s">
        <v>9</v>
      </c>
      <c r="C464" s="4" t="s">
        <v>237</v>
      </c>
      <c r="D464" s="12">
        <v>42</v>
      </c>
      <c r="E464" s="12">
        <v>6</v>
      </c>
      <c r="F464" s="13">
        <v>32549</v>
      </c>
      <c r="G464" s="14">
        <v>0.21</v>
      </c>
      <c r="H464" s="13">
        <v>4529</v>
      </c>
      <c r="I464" s="15">
        <f t="shared" si="21"/>
        <v>0.14285714285714285</v>
      </c>
      <c r="J464" s="13">
        <f t="shared" si="22"/>
        <v>4649.8571428571422</v>
      </c>
      <c r="K464" s="13">
        <f t="shared" si="23"/>
        <v>6835.29</v>
      </c>
    </row>
    <row r="465" spans="1:11" x14ac:dyDescent="0.25">
      <c r="A465" s="4" t="s">
        <v>507</v>
      </c>
      <c r="B465" s="4" t="s">
        <v>9</v>
      </c>
      <c r="C465" s="4" t="s">
        <v>237</v>
      </c>
      <c r="D465" s="12">
        <v>29</v>
      </c>
      <c r="E465" s="12">
        <v>8</v>
      </c>
      <c r="F465" s="13">
        <v>46840</v>
      </c>
      <c r="G465" s="14">
        <v>0.41</v>
      </c>
      <c r="H465" s="13">
        <v>13025</v>
      </c>
      <c r="I465" s="15">
        <f t="shared" si="21"/>
        <v>0.27586206896551724</v>
      </c>
      <c r="J465" s="13">
        <f t="shared" si="22"/>
        <v>12921.379310344828</v>
      </c>
      <c r="K465" s="13">
        <f t="shared" si="23"/>
        <v>19204.399999999998</v>
      </c>
    </row>
    <row r="466" spans="1:11" x14ac:dyDescent="0.25">
      <c r="A466" s="4" t="s">
        <v>508</v>
      </c>
      <c r="B466" s="4" t="s">
        <v>9</v>
      </c>
      <c r="C466" s="4" t="s">
        <v>237</v>
      </c>
      <c r="D466" s="12">
        <v>11</v>
      </c>
      <c r="E466" s="12">
        <v>2</v>
      </c>
      <c r="F466" s="13">
        <v>71336</v>
      </c>
      <c r="G466" s="14">
        <v>0.35</v>
      </c>
      <c r="H466" s="13">
        <v>12611</v>
      </c>
      <c r="I466" s="15">
        <f t="shared" si="21"/>
        <v>0.18181818181818182</v>
      </c>
      <c r="J466" s="13">
        <f t="shared" si="22"/>
        <v>12970.181818181818</v>
      </c>
      <c r="K466" s="13">
        <f t="shared" si="23"/>
        <v>24967.599999999999</v>
      </c>
    </row>
    <row r="467" spans="1:11" x14ac:dyDescent="0.25">
      <c r="A467" s="4" t="s">
        <v>509</v>
      </c>
      <c r="B467" s="4" t="s">
        <v>9</v>
      </c>
      <c r="C467" s="4" t="s">
        <v>237</v>
      </c>
      <c r="D467" s="12">
        <v>11</v>
      </c>
      <c r="E467" s="12">
        <v>5</v>
      </c>
      <c r="F467" s="13">
        <v>135016</v>
      </c>
      <c r="G467" s="14">
        <v>0.53</v>
      </c>
      <c r="H467" s="13">
        <v>63601</v>
      </c>
      <c r="I467" s="15">
        <f t="shared" si="21"/>
        <v>0.45454545454545453</v>
      </c>
      <c r="J467" s="13">
        <f t="shared" si="22"/>
        <v>61370.909090909088</v>
      </c>
      <c r="K467" s="13">
        <f t="shared" si="23"/>
        <v>71558.48000000001</v>
      </c>
    </row>
    <row r="468" spans="1:11" x14ac:dyDescent="0.25">
      <c r="A468" s="4" t="s">
        <v>510</v>
      </c>
      <c r="B468" s="4" t="s">
        <v>9</v>
      </c>
      <c r="C468" s="4" t="s">
        <v>237</v>
      </c>
      <c r="D468" s="12">
        <v>53</v>
      </c>
      <c r="E468" s="12">
        <v>22</v>
      </c>
      <c r="F468" s="13">
        <v>24763</v>
      </c>
      <c r="G468" s="14">
        <v>0.48</v>
      </c>
      <c r="H468" s="13">
        <v>10725</v>
      </c>
      <c r="I468" s="15">
        <f t="shared" si="21"/>
        <v>0.41509433962264153</v>
      </c>
      <c r="J468" s="13">
        <f t="shared" si="22"/>
        <v>10278.981132075472</v>
      </c>
      <c r="K468" s="13">
        <f t="shared" si="23"/>
        <v>11886.24</v>
      </c>
    </row>
    <row r="469" spans="1:11" x14ac:dyDescent="0.25">
      <c r="A469" s="4" t="s">
        <v>511</v>
      </c>
      <c r="B469" s="4" t="s">
        <v>9</v>
      </c>
      <c r="C469" s="4" t="s">
        <v>237</v>
      </c>
      <c r="D469" s="12">
        <v>7</v>
      </c>
      <c r="E469" s="12">
        <v>1</v>
      </c>
      <c r="F469" s="13">
        <v>78831</v>
      </c>
      <c r="G469" s="14">
        <v>0.34</v>
      </c>
      <c r="H469" s="13">
        <v>12763</v>
      </c>
      <c r="I469" s="15">
        <f t="shared" si="21"/>
        <v>0.14285714285714285</v>
      </c>
      <c r="J469" s="13">
        <f t="shared" si="22"/>
        <v>11261.571428571428</v>
      </c>
      <c r="K469" s="13">
        <f t="shared" si="23"/>
        <v>26802.54</v>
      </c>
    </row>
    <row r="470" spans="1:11" x14ac:dyDescent="0.25">
      <c r="A470" s="4" t="s">
        <v>512</v>
      </c>
      <c r="B470" s="4" t="s">
        <v>9</v>
      </c>
      <c r="C470" s="4" t="s">
        <v>32</v>
      </c>
      <c r="D470" s="12">
        <v>3899</v>
      </c>
      <c r="E470" s="12">
        <v>923</v>
      </c>
      <c r="F470" s="13">
        <v>39653</v>
      </c>
      <c r="G470" s="14">
        <v>0.33</v>
      </c>
      <c r="H470" s="13">
        <v>8957</v>
      </c>
      <c r="I470" s="15">
        <f t="shared" si="21"/>
        <v>0.2367273659912798</v>
      </c>
      <c r="J470" s="13">
        <f t="shared" si="22"/>
        <v>9386.950243652218</v>
      </c>
      <c r="K470" s="13">
        <f t="shared" si="23"/>
        <v>13085.49</v>
      </c>
    </row>
    <row r="471" spans="1:11" x14ac:dyDescent="0.25">
      <c r="A471" s="4" t="s">
        <v>513</v>
      </c>
      <c r="B471" s="4" t="s">
        <v>9</v>
      </c>
      <c r="C471" s="4" t="s">
        <v>514</v>
      </c>
      <c r="D471" s="12">
        <v>10</v>
      </c>
      <c r="E471" s="12">
        <v>4</v>
      </c>
      <c r="F471" s="13">
        <v>65550</v>
      </c>
      <c r="G471" s="14">
        <v>0.48</v>
      </c>
      <c r="H471" s="13">
        <v>28536</v>
      </c>
      <c r="I471" s="15">
        <f t="shared" si="21"/>
        <v>0.4</v>
      </c>
      <c r="J471" s="13">
        <f t="shared" si="22"/>
        <v>26220</v>
      </c>
      <c r="K471" s="13">
        <f t="shared" si="23"/>
        <v>31464</v>
      </c>
    </row>
    <row r="472" spans="1:11" x14ac:dyDescent="0.25">
      <c r="A472" s="4" t="s">
        <v>515</v>
      </c>
      <c r="B472" s="4" t="s">
        <v>9</v>
      </c>
      <c r="C472" s="4" t="s">
        <v>32</v>
      </c>
      <c r="D472" s="12">
        <v>9018</v>
      </c>
      <c r="E472" s="12">
        <v>4050</v>
      </c>
      <c r="F472" s="13">
        <v>55731</v>
      </c>
      <c r="G472" s="14">
        <v>0.6</v>
      </c>
      <c r="H472" s="13">
        <v>24272</v>
      </c>
      <c r="I472" s="15">
        <f t="shared" si="21"/>
        <v>0.44910179640718562</v>
      </c>
      <c r="J472" s="13">
        <f t="shared" si="22"/>
        <v>25028.892215568863</v>
      </c>
      <c r="K472" s="13">
        <f t="shared" si="23"/>
        <v>33438.6</v>
      </c>
    </row>
    <row r="473" spans="1:11" x14ac:dyDescent="0.25">
      <c r="A473" s="4" t="s">
        <v>516</v>
      </c>
      <c r="B473" s="4" t="s">
        <v>9</v>
      </c>
      <c r="C473" s="4" t="s">
        <v>237</v>
      </c>
      <c r="D473" s="12">
        <v>5</v>
      </c>
      <c r="E473" s="12">
        <v>1</v>
      </c>
      <c r="F473" s="13">
        <v>32383</v>
      </c>
      <c r="G473" s="14">
        <v>0.35</v>
      </c>
      <c r="H473" s="13">
        <v>6730</v>
      </c>
      <c r="I473" s="15">
        <f t="shared" si="21"/>
        <v>0.2</v>
      </c>
      <c r="J473" s="13">
        <f t="shared" si="22"/>
        <v>6476.6</v>
      </c>
      <c r="K473" s="13">
        <f t="shared" si="23"/>
        <v>11334.05</v>
      </c>
    </row>
    <row r="474" spans="1:11" x14ac:dyDescent="0.25">
      <c r="A474" s="4" t="s">
        <v>517</v>
      </c>
      <c r="B474" s="4" t="s">
        <v>9</v>
      </c>
      <c r="C474" s="4" t="s">
        <v>237</v>
      </c>
      <c r="D474" s="12">
        <v>96</v>
      </c>
      <c r="E474" s="12">
        <v>35</v>
      </c>
      <c r="F474" s="13">
        <v>36607</v>
      </c>
      <c r="G474" s="14">
        <v>0.55000000000000004</v>
      </c>
      <c r="H474" s="13">
        <v>13147</v>
      </c>
      <c r="I474" s="15">
        <f t="shared" si="21"/>
        <v>0.36458333333333331</v>
      </c>
      <c r="J474" s="13">
        <f t="shared" si="22"/>
        <v>13346.302083333332</v>
      </c>
      <c r="K474" s="13">
        <f t="shared" si="23"/>
        <v>20133.850000000002</v>
      </c>
    </row>
    <row r="475" spans="1:11" x14ac:dyDescent="0.25">
      <c r="A475" s="4" t="s">
        <v>518</v>
      </c>
      <c r="B475" s="4" t="s">
        <v>9</v>
      </c>
      <c r="C475" s="4" t="s">
        <v>32</v>
      </c>
      <c r="D475" s="12">
        <v>1466</v>
      </c>
      <c r="E475" s="12">
        <v>605</v>
      </c>
      <c r="F475" s="13">
        <v>12461</v>
      </c>
      <c r="G475" s="14">
        <v>0.53</v>
      </c>
      <c r="H475" s="13">
        <v>5300</v>
      </c>
      <c r="I475" s="15">
        <f t="shared" si="21"/>
        <v>0.41268758526603</v>
      </c>
      <c r="J475" s="13">
        <f t="shared" si="22"/>
        <v>5142.5</v>
      </c>
      <c r="K475" s="13">
        <f t="shared" si="23"/>
        <v>6604.33</v>
      </c>
    </row>
    <row r="476" spans="1:11" x14ac:dyDescent="0.25">
      <c r="A476" s="4" t="s">
        <v>519</v>
      </c>
      <c r="B476" s="4" t="s">
        <v>9</v>
      </c>
      <c r="C476" s="4" t="s">
        <v>237</v>
      </c>
      <c r="D476" s="12">
        <v>63</v>
      </c>
      <c r="E476" s="12">
        <v>29</v>
      </c>
      <c r="F476" s="13">
        <v>71496</v>
      </c>
      <c r="G476" s="14">
        <v>0.63</v>
      </c>
      <c r="H476" s="13">
        <v>33792</v>
      </c>
      <c r="I476" s="15">
        <f t="shared" si="21"/>
        <v>0.46031746031746029</v>
      </c>
      <c r="J476" s="13">
        <f t="shared" si="22"/>
        <v>32910.857142857138</v>
      </c>
      <c r="K476" s="13">
        <f t="shared" si="23"/>
        <v>45042.48</v>
      </c>
    </row>
    <row r="477" spans="1:11" x14ac:dyDescent="0.25">
      <c r="A477" s="4" t="s">
        <v>520</v>
      </c>
      <c r="B477" s="4" t="s">
        <v>9</v>
      </c>
      <c r="C477" s="4" t="s">
        <v>237</v>
      </c>
      <c r="D477" s="12">
        <v>71</v>
      </c>
      <c r="E477" s="12">
        <v>35</v>
      </c>
      <c r="F477" s="13">
        <v>102493</v>
      </c>
      <c r="G477" s="14">
        <v>0.56000000000000005</v>
      </c>
      <c r="H477" s="13">
        <v>53765</v>
      </c>
      <c r="I477" s="15">
        <f t="shared" si="21"/>
        <v>0.49295774647887325</v>
      </c>
      <c r="J477" s="13">
        <f t="shared" si="22"/>
        <v>50524.718309859156</v>
      </c>
      <c r="K477" s="13">
        <f t="shared" si="23"/>
        <v>57396.080000000009</v>
      </c>
    </row>
    <row r="478" spans="1:11" x14ac:dyDescent="0.25">
      <c r="A478" s="4" t="s">
        <v>521</v>
      </c>
      <c r="B478" s="4" t="s">
        <v>9</v>
      </c>
      <c r="C478" s="4" t="s">
        <v>32</v>
      </c>
      <c r="D478" s="12">
        <v>13243</v>
      </c>
      <c r="E478" s="12">
        <v>2412</v>
      </c>
      <c r="F478" s="13">
        <v>83431</v>
      </c>
      <c r="G478" s="14">
        <v>0.36</v>
      </c>
      <c r="H478" s="13">
        <v>17068</v>
      </c>
      <c r="I478" s="15">
        <f t="shared" si="21"/>
        <v>0.18213395756248585</v>
      </c>
      <c r="J478" s="13">
        <f t="shared" si="22"/>
        <v>15195.618213395757</v>
      </c>
      <c r="K478" s="13">
        <f t="shared" si="23"/>
        <v>30035.16</v>
      </c>
    </row>
    <row r="479" spans="1:11" x14ac:dyDescent="0.25">
      <c r="A479" s="4" t="s">
        <v>522</v>
      </c>
      <c r="B479" s="4" t="s">
        <v>9</v>
      </c>
      <c r="C479" s="4" t="s">
        <v>237</v>
      </c>
      <c r="D479" s="12">
        <v>5</v>
      </c>
      <c r="E479" s="12">
        <v>2</v>
      </c>
      <c r="F479" s="13">
        <v>56825</v>
      </c>
      <c r="G479" s="14">
        <v>0.5</v>
      </c>
      <c r="H479" s="13">
        <v>24675</v>
      </c>
      <c r="I479" s="15">
        <f t="shared" si="21"/>
        <v>0.4</v>
      </c>
      <c r="J479" s="13">
        <f t="shared" si="22"/>
        <v>22730</v>
      </c>
      <c r="K479" s="13">
        <f t="shared" si="23"/>
        <v>28412.5</v>
      </c>
    </row>
    <row r="480" spans="1:11" x14ac:dyDescent="0.25">
      <c r="A480" s="4" t="s">
        <v>523</v>
      </c>
      <c r="B480" s="4" t="s">
        <v>9</v>
      </c>
      <c r="C480" s="4" t="s">
        <v>237</v>
      </c>
      <c r="D480" s="12">
        <v>143</v>
      </c>
      <c r="E480" s="12">
        <v>37</v>
      </c>
      <c r="F480" s="13">
        <v>51612</v>
      </c>
      <c r="G480" s="14">
        <v>0.42</v>
      </c>
      <c r="H480" s="13">
        <v>15103</v>
      </c>
      <c r="I480" s="15">
        <f t="shared" si="21"/>
        <v>0.25874125874125875</v>
      </c>
      <c r="J480" s="13">
        <f t="shared" si="22"/>
        <v>13354.153846153846</v>
      </c>
      <c r="K480" s="13">
        <f t="shared" si="23"/>
        <v>21677.040000000001</v>
      </c>
    </row>
    <row r="481" spans="1:11" x14ac:dyDescent="0.25">
      <c r="A481" s="4" t="s">
        <v>524</v>
      </c>
      <c r="B481" s="4" t="s">
        <v>9</v>
      </c>
      <c r="C481" s="4" t="s">
        <v>237</v>
      </c>
      <c r="D481" s="12">
        <v>25</v>
      </c>
      <c r="E481" s="12">
        <v>12</v>
      </c>
      <c r="F481" s="13">
        <v>127192</v>
      </c>
      <c r="G481" s="14">
        <v>0.61</v>
      </c>
      <c r="H481" s="13">
        <v>62791</v>
      </c>
      <c r="I481" s="15">
        <f t="shared" si="21"/>
        <v>0.48</v>
      </c>
      <c r="J481" s="13">
        <f t="shared" si="22"/>
        <v>61052.159999999996</v>
      </c>
      <c r="K481" s="13">
        <f t="shared" si="23"/>
        <v>77587.12</v>
      </c>
    </row>
    <row r="482" spans="1:11" x14ac:dyDescent="0.25">
      <c r="A482" s="4" t="s">
        <v>525</v>
      </c>
      <c r="B482" s="4" t="s">
        <v>9</v>
      </c>
      <c r="C482" s="4" t="s">
        <v>32</v>
      </c>
      <c r="D482" s="12">
        <v>11626</v>
      </c>
      <c r="E482" s="12">
        <v>1831</v>
      </c>
      <c r="F482" s="13">
        <v>67082</v>
      </c>
      <c r="G482" s="14">
        <v>0.31</v>
      </c>
      <c r="H482" s="13">
        <v>11508</v>
      </c>
      <c r="I482" s="15">
        <f t="shared" si="21"/>
        <v>0.15749182865990022</v>
      </c>
      <c r="J482" s="13">
        <f t="shared" si="22"/>
        <v>10564.866850163426</v>
      </c>
      <c r="K482" s="13">
        <f t="shared" si="23"/>
        <v>20795.419999999998</v>
      </c>
    </row>
    <row r="483" spans="1:11" x14ac:dyDescent="0.25">
      <c r="A483" s="4" t="s">
        <v>526</v>
      </c>
      <c r="B483" s="4" t="s">
        <v>9</v>
      </c>
      <c r="C483" s="4" t="s">
        <v>32</v>
      </c>
      <c r="D483" s="12">
        <v>3839</v>
      </c>
      <c r="E483" s="12">
        <v>771</v>
      </c>
      <c r="F483" s="13">
        <v>23341</v>
      </c>
      <c r="G483" s="14">
        <v>0.33</v>
      </c>
      <c r="H483" s="13">
        <v>4645</v>
      </c>
      <c r="I483" s="15">
        <f t="shared" si="21"/>
        <v>0.20083355040375098</v>
      </c>
      <c r="J483" s="13">
        <f t="shared" si="22"/>
        <v>4687.6558999739518</v>
      </c>
      <c r="K483" s="13">
        <f t="shared" si="23"/>
        <v>7702.5300000000007</v>
      </c>
    </row>
    <row r="484" spans="1:11" x14ac:dyDescent="0.25">
      <c r="A484" s="4" t="s">
        <v>527</v>
      </c>
      <c r="B484" s="4" t="s">
        <v>9</v>
      </c>
      <c r="C484" s="4" t="s">
        <v>32</v>
      </c>
      <c r="D484" s="12">
        <v>13092</v>
      </c>
      <c r="E484" s="12">
        <v>4760</v>
      </c>
      <c r="F484" s="13">
        <v>80516</v>
      </c>
      <c r="G484" s="14">
        <v>0.56000000000000005</v>
      </c>
      <c r="H484" s="13">
        <v>30438</v>
      </c>
      <c r="I484" s="15">
        <f t="shared" si="21"/>
        <v>0.36358081271005194</v>
      </c>
      <c r="J484" s="13">
        <f t="shared" si="22"/>
        <v>29274.07271616254</v>
      </c>
      <c r="K484" s="13">
        <f t="shared" si="23"/>
        <v>45088.960000000006</v>
      </c>
    </row>
    <row r="485" spans="1:11" x14ac:dyDescent="0.25">
      <c r="A485" s="4" t="s">
        <v>528</v>
      </c>
      <c r="B485" s="4" t="s">
        <v>9</v>
      </c>
      <c r="C485" s="4" t="s">
        <v>237</v>
      </c>
      <c r="D485" s="12">
        <v>8</v>
      </c>
      <c r="E485" s="12">
        <v>1</v>
      </c>
      <c r="F485" s="13">
        <v>98337</v>
      </c>
      <c r="G485" s="14">
        <v>0.2</v>
      </c>
      <c r="H485" s="13">
        <v>13440</v>
      </c>
      <c r="I485" s="15">
        <f t="shared" si="21"/>
        <v>0.125</v>
      </c>
      <c r="J485" s="13">
        <f t="shared" si="22"/>
        <v>12292.125</v>
      </c>
      <c r="K485" s="13">
        <f t="shared" si="23"/>
        <v>19667.400000000001</v>
      </c>
    </row>
    <row r="486" spans="1:11" x14ac:dyDescent="0.25">
      <c r="A486" s="4" t="s">
        <v>529</v>
      </c>
      <c r="B486" s="4" t="s">
        <v>9</v>
      </c>
      <c r="C486" s="4" t="s">
        <v>32</v>
      </c>
      <c r="D486" s="12">
        <v>1685</v>
      </c>
      <c r="E486" s="12">
        <v>792</v>
      </c>
      <c r="F486" s="13">
        <v>9251</v>
      </c>
      <c r="G486" s="14">
        <v>0.6</v>
      </c>
      <c r="H486" s="13">
        <v>4762</v>
      </c>
      <c r="I486" s="15">
        <f t="shared" si="21"/>
        <v>0.47002967359050446</v>
      </c>
      <c r="J486" s="13">
        <f t="shared" si="22"/>
        <v>4348.2445103857572</v>
      </c>
      <c r="K486" s="13">
        <f t="shared" si="23"/>
        <v>5550.5999999999995</v>
      </c>
    </row>
    <row r="487" spans="1:11" x14ac:dyDescent="0.25">
      <c r="A487" s="4" t="s">
        <v>530</v>
      </c>
      <c r="B487" s="4" t="s">
        <v>9</v>
      </c>
      <c r="C487" s="4" t="s">
        <v>32</v>
      </c>
      <c r="D487" s="12">
        <v>2711</v>
      </c>
      <c r="E487" s="12">
        <v>601</v>
      </c>
      <c r="F487" s="13">
        <v>10627</v>
      </c>
      <c r="G487" s="14">
        <v>0.32</v>
      </c>
      <c r="H487" s="13">
        <v>2228</v>
      </c>
      <c r="I487" s="15">
        <f t="shared" si="21"/>
        <v>0.2216894135005533</v>
      </c>
      <c r="J487" s="13">
        <f t="shared" si="22"/>
        <v>2355.8933972703799</v>
      </c>
      <c r="K487" s="13">
        <f t="shared" si="23"/>
        <v>3400.64</v>
      </c>
    </row>
    <row r="488" spans="1:11" x14ac:dyDescent="0.25">
      <c r="A488" s="4" t="s">
        <v>531</v>
      </c>
      <c r="B488" s="4" t="s">
        <v>9</v>
      </c>
      <c r="C488" s="4" t="s">
        <v>237</v>
      </c>
      <c r="D488" s="12">
        <v>18</v>
      </c>
      <c r="E488" s="12">
        <v>5</v>
      </c>
      <c r="F488" s="13">
        <v>89557</v>
      </c>
      <c r="G488" s="14">
        <v>0.47</v>
      </c>
      <c r="H488" s="13">
        <v>23487</v>
      </c>
      <c r="I488" s="15">
        <f t="shared" si="21"/>
        <v>0.27777777777777779</v>
      </c>
      <c r="J488" s="13">
        <f t="shared" si="22"/>
        <v>24876.944444444445</v>
      </c>
      <c r="K488" s="13">
        <f t="shared" si="23"/>
        <v>42091.79</v>
      </c>
    </row>
    <row r="489" spans="1:11" x14ac:dyDescent="0.25">
      <c r="A489" s="4" t="s">
        <v>532</v>
      </c>
      <c r="B489" s="4" t="s">
        <v>9</v>
      </c>
      <c r="C489" s="4" t="s">
        <v>237</v>
      </c>
      <c r="D489" s="12">
        <v>3</v>
      </c>
      <c r="E489" s="12">
        <v>1</v>
      </c>
      <c r="F489" s="13">
        <v>22036</v>
      </c>
      <c r="G489" s="14">
        <v>0.49</v>
      </c>
      <c r="H489" s="13">
        <v>7051</v>
      </c>
      <c r="I489" s="15">
        <f t="shared" si="21"/>
        <v>0.33333333333333331</v>
      </c>
      <c r="J489" s="13">
        <f t="shared" si="22"/>
        <v>7345.333333333333</v>
      </c>
      <c r="K489" s="13">
        <f t="shared" si="23"/>
        <v>10797.64</v>
      </c>
    </row>
    <row r="490" spans="1:11" x14ac:dyDescent="0.25">
      <c r="A490" s="4" t="s">
        <v>533</v>
      </c>
      <c r="B490" s="4" t="s">
        <v>9</v>
      </c>
      <c r="C490" s="4" t="s">
        <v>237</v>
      </c>
      <c r="D490" s="12">
        <v>11</v>
      </c>
      <c r="E490" s="12">
        <v>5</v>
      </c>
      <c r="F490" s="13">
        <v>97180</v>
      </c>
      <c r="G490" s="14">
        <v>0.63</v>
      </c>
      <c r="H490" s="13">
        <v>48884</v>
      </c>
      <c r="I490" s="15">
        <f t="shared" si="21"/>
        <v>0.45454545454545453</v>
      </c>
      <c r="J490" s="13">
        <f t="shared" si="22"/>
        <v>44172.727272727272</v>
      </c>
      <c r="K490" s="13">
        <f t="shared" si="23"/>
        <v>61223.4</v>
      </c>
    </row>
    <row r="491" spans="1:11" x14ac:dyDescent="0.25">
      <c r="A491" s="4" t="s">
        <v>534</v>
      </c>
      <c r="B491" s="4" t="s">
        <v>9</v>
      </c>
      <c r="C491" s="4" t="s">
        <v>237</v>
      </c>
      <c r="D491" s="12">
        <v>48</v>
      </c>
      <c r="E491" s="12">
        <v>11</v>
      </c>
      <c r="F491" s="13">
        <v>15256</v>
      </c>
      <c r="G491" s="14">
        <v>0.3</v>
      </c>
      <c r="H491" s="13">
        <v>3923</v>
      </c>
      <c r="I491" s="15">
        <f t="shared" si="21"/>
        <v>0.22916666666666666</v>
      </c>
      <c r="J491" s="13">
        <f t="shared" si="22"/>
        <v>3496.1666666666665</v>
      </c>
      <c r="K491" s="13">
        <f t="shared" si="23"/>
        <v>4576.8</v>
      </c>
    </row>
    <row r="492" spans="1:11" x14ac:dyDescent="0.25">
      <c r="A492" s="4" t="s">
        <v>535</v>
      </c>
      <c r="B492" s="4" t="s">
        <v>9</v>
      </c>
      <c r="C492" s="4" t="s">
        <v>237</v>
      </c>
      <c r="D492" s="12">
        <v>3</v>
      </c>
      <c r="E492" s="12">
        <v>1</v>
      </c>
      <c r="F492" s="13">
        <v>35018</v>
      </c>
      <c r="G492" s="14">
        <v>0.46</v>
      </c>
      <c r="H492" s="13">
        <v>12117</v>
      </c>
      <c r="I492" s="15">
        <f t="shared" si="21"/>
        <v>0.33333333333333331</v>
      </c>
      <c r="J492" s="13">
        <f t="shared" si="22"/>
        <v>11672.666666666666</v>
      </c>
      <c r="K492" s="13">
        <f t="shared" si="23"/>
        <v>16108.28</v>
      </c>
    </row>
    <row r="493" spans="1:11" x14ac:dyDescent="0.25">
      <c r="A493" s="4" t="s">
        <v>536</v>
      </c>
      <c r="B493" s="4" t="s">
        <v>9</v>
      </c>
      <c r="C493" s="4" t="s">
        <v>32</v>
      </c>
      <c r="D493" s="12">
        <v>2808</v>
      </c>
      <c r="E493" s="12">
        <v>1133</v>
      </c>
      <c r="F493" s="13">
        <v>19403</v>
      </c>
      <c r="G493" s="14">
        <v>0.54</v>
      </c>
      <c r="H493" s="13">
        <v>8320</v>
      </c>
      <c r="I493" s="15">
        <f t="shared" si="21"/>
        <v>0.40349002849002846</v>
      </c>
      <c r="J493" s="13">
        <f t="shared" si="22"/>
        <v>7828.9170227920222</v>
      </c>
      <c r="K493" s="13">
        <f t="shared" si="23"/>
        <v>10477.620000000001</v>
      </c>
    </row>
    <row r="494" spans="1:11" x14ac:dyDescent="0.25">
      <c r="A494" s="4" t="s">
        <v>537</v>
      </c>
      <c r="B494" s="4" t="s">
        <v>9</v>
      </c>
      <c r="C494" s="4" t="s">
        <v>237</v>
      </c>
      <c r="D494" s="12">
        <v>8</v>
      </c>
      <c r="E494" s="12">
        <v>2</v>
      </c>
      <c r="F494" s="13">
        <v>78083</v>
      </c>
      <c r="G494" s="14">
        <v>0.28999999999999998</v>
      </c>
      <c r="H494" s="13">
        <v>19390</v>
      </c>
      <c r="I494" s="15">
        <f t="shared" si="21"/>
        <v>0.25</v>
      </c>
      <c r="J494" s="13">
        <f t="shared" si="22"/>
        <v>19520.75</v>
      </c>
      <c r="K494" s="13">
        <f t="shared" si="23"/>
        <v>22644.07</v>
      </c>
    </row>
    <row r="495" spans="1:11" x14ac:dyDescent="0.25">
      <c r="A495" s="4" t="s">
        <v>538</v>
      </c>
      <c r="B495" s="4" t="s">
        <v>9</v>
      </c>
      <c r="C495" s="4" t="s">
        <v>237</v>
      </c>
      <c r="D495" s="12">
        <v>6</v>
      </c>
      <c r="E495" s="12">
        <v>1</v>
      </c>
      <c r="F495" s="13">
        <v>37199</v>
      </c>
      <c r="G495" s="14">
        <v>0.28000000000000003</v>
      </c>
      <c r="H495" s="13">
        <v>6184</v>
      </c>
      <c r="I495" s="15">
        <f t="shared" si="21"/>
        <v>0.16666666666666666</v>
      </c>
      <c r="J495" s="13">
        <f t="shared" si="22"/>
        <v>6199.833333333333</v>
      </c>
      <c r="K495" s="13">
        <f t="shared" si="23"/>
        <v>10415.720000000001</v>
      </c>
    </row>
    <row r="496" spans="1:11" x14ac:dyDescent="0.25">
      <c r="A496" s="4" t="s">
        <v>539</v>
      </c>
      <c r="B496" s="4" t="s">
        <v>9</v>
      </c>
      <c r="C496" s="4" t="s">
        <v>32</v>
      </c>
      <c r="D496" s="12">
        <v>1671</v>
      </c>
      <c r="E496" s="12">
        <v>764</v>
      </c>
      <c r="F496" s="13">
        <v>14989</v>
      </c>
      <c r="G496" s="14">
        <v>0.54</v>
      </c>
      <c r="H496" s="13">
        <v>6810</v>
      </c>
      <c r="I496" s="15">
        <f t="shared" si="21"/>
        <v>0.45721125074805508</v>
      </c>
      <c r="J496" s="13">
        <f t="shared" si="22"/>
        <v>6853.1394374625979</v>
      </c>
      <c r="K496" s="13">
        <f t="shared" si="23"/>
        <v>8094.06</v>
      </c>
    </row>
    <row r="497" spans="1:11" x14ac:dyDescent="0.25">
      <c r="A497" s="4" t="s">
        <v>540</v>
      </c>
      <c r="B497" s="4" t="s">
        <v>9</v>
      </c>
      <c r="C497" s="4" t="s">
        <v>32</v>
      </c>
      <c r="D497" s="12">
        <v>3364</v>
      </c>
      <c r="E497" s="12">
        <v>1012</v>
      </c>
      <c r="F497" s="13">
        <v>23010</v>
      </c>
      <c r="G497" s="14">
        <v>0.36</v>
      </c>
      <c r="H497" s="13">
        <v>6754</v>
      </c>
      <c r="I497" s="15">
        <f t="shared" si="21"/>
        <v>0.30083234244946494</v>
      </c>
      <c r="J497" s="13">
        <f t="shared" si="22"/>
        <v>6922.1521997621885</v>
      </c>
      <c r="K497" s="13">
        <f t="shared" si="23"/>
        <v>8283.6</v>
      </c>
    </row>
    <row r="498" spans="1:11" x14ac:dyDescent="0.25">
      <c r="A498" s="4" t="s">
        <v>541</v>
      </c>
      <c r="B498" s="4" t="s">
        <v>9</v>
      </c>
      <c r="C498" s="4" t="s">
        <v>237</v>
      </c>
      <c r="D498" s="12">
        <v>55</v>
      </c>
      <c r="E498" s="12">
        <v>11</v>
      </c>
      <c r="F498" s="13">
        <v>86155</v>
      </c>
      <c r="G498" s="14">
        <v>0.25</v>
      </c>
      <c r="H498" s="13">
        <v>18112</v>
      </c>
      <c r="I498" s="15">
        <f t="shared" si="21"/>
        <v>0.2</v>
      </c>
      <c r="J498" s="13">
        <f t="shared" si="22"/>
        <v>17231</v>
      </c>
      <c r="K498" s="13">
        <f t="shared" si="23"/>
        <v>21538.75</v>
      </c>
    </row>
    <row r="499" spans="1:11" x14ac:dyDescent="0.25">
      <c r="A499" s="4" t="s">
        <v>542</v>
      </c>
      <c r="B499" s="4" t="s">
        <v>9</v>
      </c>
      <c r="C499" s="4" t="s">
        <v>237</v>
      </c>
      <c r="D499" s="12">
        <v>4</v>
      </c>
      <c r="E499" s="12">
        <v>1</v>
      </c>
      <c r="F499" s="13">
        <v>33369</v>
      </c>
      <c r="G499" s="14">
        <v>0.3</v>
      </c>
      <c r="H499" s="13">
        <v>8564</v>
      </c>
      <c r="I499" s="15">
        <f t="shared" si="21"/>
        <v>0.25</v>
      </c>
      <c r="J499" s="13">
        <f t="shared" si="22"/>
        <v>8342.25</v>
      </c>
      <c r="K499" s="13">
        <f t="shared" si="23"/>
        <v>10010.699999999999</v>
      </c>
    </row>
    <row r="500" spans="1:11" x14ac:dyDescent="0.25">
      <c r="A500" s="4" t="s">
        <v>543</v>
      </c>
      <c r="B500" s="4" t="s">
        <v>9</v>
      </c>
      <c r="C500" s="4" t="s">
        <v>32</v>
      </c>
      <c r="D500" s="12">
        <v>2652</v>
      </c>
      <c r="E500" s="12">
        <v>343</v>
      </c>
      <c r="F500" s="13">
        <v>27050</v>
      </c>
      <c r="G500" s="14">
        <v>0.3</v>
      </c>
      <c r="H500" s="13">
        <v>3741</v>
      </c>
      <c r="I500" s="15">
        <f t="shared" si="21"/>
        <v>0.12933634992458523</v>
      </c>
      <c r="J500" s="13">
        <f t="shared" si="22"/>
        <v>3498.5482654600305</v>
      </c>
      <c r="K500" s="13">
        <f t="shared" si="23"/>
        <v>8115</v>
      </c>
    </row>
    <row r="501" spans="1:11" x14ac:dyDescent="0.25">
      <c r="A501" s="4" t="s">
        <v>544</v>
      </c>
      <c r="B501" s="4" t="s">
        <v>9</v>
      </c>
      <c r="C501" s="4" t="s">
        <v>32</v>
      </c>
      <c r="D501" s="12">
        <v>3674</v>
      </c>
      <c r="E501" s="12">
        <v>1213</v>
      </c>
      <c r="F501" s="13">
        <v>24212</v>
      </c>
      <c r="G501" s="14">
        <v>0.49</v>
      </c>
      <c r="H501" s="13">
        <v>7841</v>
      </c>
      <c r="I501" s="15">
        <f t="shared" si="21"/>
        <v>0.33015786608600978</v>
      </c>
      <c r="J501" s="13">
        <f t="shared" si="22"/>
        <v>7993.7822536744688</v>
      </c>
      <c r="K501" s="13">
        <f t="shared" si="23"/>
        <v>11863.88</v>
      </c>
    </row>
    <row r="502" spans="1:11" x14ac:dyDescent="0.25">
      <c r="A502" s="4" t="s">
        <v>545</v>
      </c>
      <c r="B502" s="4" t="s">
        <v>9</v>
      </c>
      <c r="C502" s="4" t="s">
        <v>32</v>
      </c>
      <c r="D502" s="12">
        <v>3026</v>
      </c>
      <c r="E502" s="12">
        <v>309</v>
      </c>
      <c r="F502" s="13">
        <v>21999</v>
      </c>
      <c r="G502" s="14">
        <v>0.19</v>
      </c>
      <c r="H502" s="13">
        <v>2398</v>
      </c>
      <c r="I502" s="15">
        <f t="shared" si="21"/>
        <v>0.10211500330469267</v>
      </c>
      <c r="J502" s="13">
        <f t="shared" si="22"/>
        <v>2246.4279576999343</v>
      </c>
      <c r="K502" s="13">
        <f t="shared" si="23"/>
        <v>4179.8100000000004</v>
      </c>
    </row>
    <row r="503" spans="1:11" x14ac:dyDescent="0.25">
      <c r="A503" s="4" t="s">
        <v>546</v>
      </c>
      <c r="B503" s="4" t="s">
        <v>9</v>
      </c>
      <c r="C503" s="4" t="s">
        <v>32</v>
      </c>
      <c r="D503" s="12">
        <v>3880</v>
      </c>
      <c r="E503" s="12">
        <v>1385</v>
      </c>
      <c r="F503" s="13">
        <v>28828</v>
      </c>
      <c r="G503" s="14">
        <v>0.4</v>
      </c>
      <c r="H503" s="13">
        <v>11031</v>
      </c>
      <c r="I503" s="15">
        <f t="shared" si="21"/>
        <v>0.35695876288659795</v>
      </c>
      <c r="J503" s="13">
        <f t="shared" si="22"/>
        <v>10290.407216494845</v>
      </c>
      <c r="K503" s="13">
        <f t="shared" si="23"/>
        <v>11531.2</v>
      </c>
    </row>
    <row r="504" spans="1:11" x14ac:dyDescent="0.25">
      <c r="A504" s="4" t="s">
        <v>547</v>
      </c>
      <c r="B504" s="4" t="s">
        <v>9</v>
      </c>
      <c r="C504" s="4" t="s">
        <v>237</v>
      </c>
      <c r="D504" s="12">
        <v>14</v>
      </c>
      <c r="E504" s="12">
        <v>3</v>
      </c>
      <c r="F504" s="13">
        <v>100020</v>
      </c>
      <c r="G504" s="14">
        <v>0.26</v>
      </c>
      <c r="H504" s="13">
        <v>22837</v>
      </c>
      <c r="I504" s="15">
        <f t="shared" si="21"/>
        <v>0.21428571428571427</v>
      </c>
      <c r="J504" s="13">
        <f t="shared" si="22"/>
        <v>21432.857142857141</v>
      </c>
      <c r="K504" s="13">
        <f t="shared" si="23"/>
        <v>26005.200000000001</v>
      </c>
    </row>
    <row r="505" spans="1:11" x14ac:dyDescent="0.25">
      <c r="A505" s="4" t="s">
        <v>548</v>
      </c>
      <c r="B505" s="4" t="s">
        <v>9</v>
      </c>
      <c r="C505" s="4" t="s">
        <v>237</v>
      </c>
      <c r="D505" s="12">
        <v>21</v>
      </c>
      <c r="E505" s="12">
        <v>5</v>
      </c>
      <c r="F505" s="13">
        <v>99017</v>
      </c>
      <c r="G505" s="14">
        <v>0.42</v>
      </c>
      <c r="H505" s="13">
        <v>25555</v>
      </c>
      <c r="I505" s="15">
        <f t="shared" si="21"/>
        <v>0.23809523809523808</v>
      </c>
      <c r="J505" s="13">
        <f t="shared" si="22"/>
        <v>23575.476190476191</v>
      </c>
      <c r="K505" s="13">
        <f t="shared" si="23"/>
        <v>41587.14</v>
      </c>
    </row>
    <row r="506" spans="1:11" x14ac:dyDescent="0.25">
      <c r="A506" s="4" t="s">
        <v>549</v>
      </c>
      <c r="B506" s="4" t="s">
        <v>9</v>
      </c>
      <c r="C506" s="4" t="s">
        <v>237</v>
      </c>
      <c r="D506" s="12">
        <v>190</v>
      </c>
      <c r="E506" s="12">
        <v>21</v>
      </c>
      <c r="F506" s="13">
        <v>142283</v>
      </c>
      <c r="G506" s="14">
        <v>0.23</v>
      </c>
      <c r="H506" s="13">
        <v>17252</v>
      </c>
      <c r="I506" s="15">
        <f t="shared" si="21"/>
        <v>0.11052631578947368</v>
      </c>
      <c r="J506" s="13">
        <f t="shared" si="22"/>
        <v>15726.015789473684</v>
      </c>
      <c r="K506" s="13">
        <f t="shared" si="23"/>
        <v>32725.09</v>
      </c>
    </row>
    <row r="507" spans="1:11" x14ac:dyDescent="0.25">
      <c r="A507" s="4" t="s">
        <v>550</v>
      </c>
      <c r="B507" s="4" t="s">
        <v>9</v>
      </c>
      <c r="C507" s="4" t="s">
        <v>237</v>
      </c>
      <c r="D507" s="12">
        <v>2</v>
      </c>
      <c r="E507" s="12">
        <v>1</v>
      </c>
      <c r="F507" s="13">
        <v>26264</v>
      </c>
      <c r="G507" s="14">
        <v>0.67</v>
      </c>
      <c r="H507" s="13">
        <v>13221</v>
      </c>
      <c r="I507" s="15">
        <f t="shared" si="21"/>
        <v>0.5</v>
      </c>
      <c r="J507" s="13">
        <f t="shared" si="22"/>
        <v>13132</v>
      </c>
      <c r="K507" s="13">
        <f t="shared" si="23"/>
        <v>17596.88</v>
      </c>
    </row>
    <row r="508" spans="1:11" x14ac:dyDescent="0.25">
      <c r="A508" s="4" t="s">
        <v>551</v>
      </c>
      <c r="B508" s="4" t="s">
        <v>9</v>
      </c>
      <c r="C508" s="4" t="s">
        <v>237</v>
      </c>
      <c r="D508" s="12">
        <v>9</v>
      </c>
      <c r="E508" s="12">
        <v>2</v>
      </c>
      <c r="F508" s="13">
        <v>103955</v>
      </c>
      <c r="G508" s="14">
        <v>0.4</v>
      </c>
      <c r="H508" s="13">
        <v>24998</v>
      </c>
      <c r="I508" s="15">
        <f t="shared" si="21"/>
        <v>0.22222222222222221</v>
      </c>
      <c r="J508" s="13">
        <f t="shared" si="22"/>
        <v>23101.111111111109</v>
      </c>
      <c r="K508" s="13">
        <f t="shared" si="23"/>
        <v>41582</v>
      </c>
    </row>
    <row r="509" spans="1:11" x14ac:dyDescent="0.25">
      <c r="A509" s="4" t="s">
        <v>552</v>
      </c>
      <c r="B509" s="4" t="s">
        <v>9</v>
      </c>
      <c r="C509" s="4" t="s">
        <v>237</v>
      </c>
      <c r="D509" s="12">
        <v>178</v>
      </c>
      <c r="E509" s="12">
        <v>74</v>
      </c>
      <c r="F509" s="13">
        <v>107482</v>
      </c>
      <c r="G509" s="14">
        <v>0.47</v>
      </c>
      <c r="H509" s="13">
        <v>50465</v>
      </c>
      <c r="I509" s="15">
        <f t="shared" si="21"/>
        <v>0.4157303370786517</v>
      </c>
      <c r="J509" s="13">
        <f t="shared" si="22"/>
        <v>44683.528089887644</v>
      </c>
      <c r="K509" s="13">
        <f t="shared" si="23"/>
        <v>50516.539999999994</v>
      </c>
    </row>
    <row r="510" spans="1:11" x14ac:dyDescent="0.25">
      <c r="A510" s="4" t="s">
        <v>553</v>
      </c>
      <c r="B510" s="4" t="s">
        <v>9</v>
      </c>
      <c r="C510" s="4" t="s">
        <v>32</v>
      </c>
      <c r="D510" s="12">
        <v>1431</v>
      </c>
      <c r="E510" s="12">
        <v>494</v>
      </c>
      <c r="F510" s="13">
        <v>9073</v>
      </c>
      <c r="G510" s="14">
        <v>0.51</v>
      </c>
      <c r="H510" s="13">
        <v>3340</v>
      </c>
      <c r="I510" s="15">
        <f t="shared" si="21"/>
        <v>0.34521313766596784</v>
      </c>
      <c r="J510" s="13">
        <f t="shared" si="22"/>
        <v>3132.118798043326</v>
      </c>
      <c r="K510" s="13">
        <f t="shared" si="23"/>
        <v>4627.2300000000005</v>
      </c>
    </row>
    <row r="511" spans="1:11" x14ac:dyDescent="0.25">
      <c r="A511" s="4" t="s">
        <v>554</v>
      </c>
      <c r="B511" s="4" t="s">
        <v>9</v>
      </c>
      <c r="C511" s="4" t="s">
        <v>32</v>
      </c>
      <c r="D511" s="12">
        <v>2144</v>
      </c>
      <c r="E511" s="12">
        <v>1062</v>
      </c>
      <c r="F511" s="13">
        <v>12692</v>
      </c>
      <c r="G511" s="14">
        <v>0.6</v>
      </c>
      <c r="H511" s="13">
        <v>6156</v>
      </c>
      <c r="I511" s="15">
        <f t="shared" si="21"/>
        <v>0.49533582089552236</v>
      </c>
      <c r="J511" s="13">
        <f t="shared" si="22"/>
        <v>6286.8022388059699</v>
      </c>
      <c r="K511" s="13">
        <f t="shared" si="23"/>
        <v>7615.2</v>
      </c>
    </row>
    <row r="512" spans="1:11" x14ac:dyDescent="0.25">
      <c r="A512" s="4" t="s">
        <v>555</v>
      </c>
      <c r="B512" s="4" t="s">
        <v>9</v>
      </c>
      <c r="C512" s="4" t="s">
        <v>237</v>
      </c>
      <c r="D512" s="12">
        <v>9</v>
      </c>
      <c r="E512" s="12">
        <v>4</v>
      </c>
      <c r="F512" s="13">
        <v>68069</v>
      </c>
      <c r="G512" s="14">
        <v>0.62</v>
      </c>
      <c r="H512" s="13">
        <v>29974</v>
      </c>
      <c r="I512" s="15">
        <f t="shared" si="21"/>
        <v>0.44444444444444442</v>
      </c>
      <c r="J512" s="13">
        <f t="shared" si="22"/>
        <v>30252.888888888887</v>
      </c>
      <c r="K512" s="13">
        <f t="shared" si="23"/>
        <v>42202.78</v>
      </c>
    </row>
    <row r="513" spans="1:11" x14ac:dyDescent="0.25">
      <c r="A513" s="4" t="s">
        <v>556</v>
      </c>
      <c r="B513" s="4" t="s">
        <v>9</v>
      </c>
      <c r="C513" s="4" t="s">
        <v>237</v>
      </c>
      <c r="D513" s="12">
        <v>6</v>
      </c>
      <c r="E513" s="12">
        <v>1</v>
      </c>
      <c r="F513" s="13">
        <v>27531</v>
      </c>
      <c r="G513" s="14">
        <v>0.26</v>
      </c>
      <c r="H513" s="13">
        <v>4427</v>
      </c>
      <c r="I513" s="15">
        <f t="shared" si="21"/>
        <v>0.16666666666666666</v>
      </c>
      <c r="J513" s="13">
        <f t="shared" si="22"/>
        <v>4588.5</v>
      </c>
      <c r="K513" s="13">
        <f t="shared" si="23"/>
        <v>7158.06</v>
      </c>
    </row>
    <row r="514" spans="1:11" x14ac:dyDescent="0.25">
      <c r="A514" s="4" t="s">
        <v>557</v>
      </c>
      <c r="B514" s="4" t="s">
        <v>9</v>
      </c>
      <c r="C514" s="4" t="s">
        <v>237</v>
      </c>
      <c r="D514" s="12">
        <v>138</v>
      </c>
      <c r="E514" s="12">
        <v>50</v>
      </c>
      <c r="F514" s="13">
        <v>50491</v>
      </c>
      <c r="G514" s="14">
        <v>0.45</v>
      </c>
      <c r="H514" s="13">
        <v>18231</v>
      </c>
      <c r="I514" s="15">
        <f t="shared" si="21"/>
        <v>0.36231884057971014</v>
      </c>
      <c r="J514" s="13">
        <f t="shared" si="22"/>
        <v>18293.840579710144</v>
      </c>
      <c r="K514" s="13">
        <f t="shared" si="23"/>
        <v>22720.95</v>
      </c>
    </row>
    <row r="515" spans="1:11" x14ac:dyDescent="0.25">
      <c r="A515" s="4" t="s">
        <v>558</v>
      </c>
      <c r="B515" s="4" t="s">
        <v>9</v>
      </c>
      <c r="C515" s="4" t="s">
        <v>32</v>
      </c>
      <c r="D515" s="12">
        <v>726</v>
      </c>
      <c r="E515" s="12">
        <v>193</v>
      </c>
      <c r="F515" s="13">
        <v>6048</v>
      </c>
      <c r="G515" s="14">
        <v>0.42</v>
      </c>
      <c r="H515" s="13">
        <v>1665</v>
      </c>
      <c r="I515" s="15">
        <f t="shared" si="21"/>
        <v>0.26584022038567495</v>
      </c>
      <c r="J515" s="13">
        <f t="shared" si="22"/>
        <v>1607.8016528925621</v>
      </c>
      <c r="K515" s="13">
        <f t="shared" si="23"/>
        <v>2540.16</v>
      </c>
    </row>
    <row r="516" spans="1:11" x14ac:dyDescent="0.25">
      <c r="A516" s="4" t="s">
        <v>559</v>
      </c>
      <c r="B516" s="4" t="s">
        <v>9</v>
      </c>
      <c r="C516" s="4" t="s">
        <v>237</v>
      </c>
      <c r="D516" s="12">
        <v>10</v>
      </c>
      <c r="E516" s="12">
        <v>4</v>
      </c>
      <c r="F516" s="13">
        <v>65907</v>
      </c>
      <c r="G516" s="14">
        <v>0.47</v>
      </c>
      <c r="H516" s="13">
        <v>28167</v>
      </c>
      <c r="I516" s="15">
        <f t="shared" si="21"/>
        <v>0.4</v>
      </c>
      <c r="J516" s="13">
        <f t="shared" si="22"/>
        <v>26362.800000000003</v>
      </c>
      <c r="K516" s="13">
        <f t="shared" si="23"/>
        <v>30976.289999999997</v>
      </c>
    </row>
    <row r="517" spans="1:11" x14ac:dyDescent="0.25">
      <c r="A517" s="4" t="s">
        <v>560</v>
      </c>
      <c r="B517" s="4" t="s">
        <v>9</v>
      </c>
      <c r="C517" s="4" t="s">
        <v>32</v>
      </c>
      <c r="D517" s="12">
        <v>13874</v>
      </c>
      <c r="E517" s="12">
        <v>1491</v>
      </c>
      <c r="F517" s="13">
        <v>59658</v>
      </c>
      <c r="G517" s="14">
        <v>0.18</v>
      </c>
      <c r="H517" s="13">
        <v>7176</v>
      </c>
      <c r="I517" s="15">
        <f t="shared" ref="I517:I580" si="24">IF(D517&gt;0,MIN(E517/D517,1),0)</f>
        <v>0.10746720484359233</v>
      </c>
      <c r="J517" s="13">
        <f t="shared" ref="J517:J580" si="25">F517*I517</f>
        <v>6411.2785065590315</v>
      </c>
      <c r="K517" s="13">
        <f t="shared" ref="K517:K580" si="26">F517*G517</f>
        <v>10738.44</v>
      </c>
    </row>
    <row r="518" spans="1:11" x14ac:dyDescent="0.25">
      <c r="A518" s="4" t="s">
        <v>561</v>
      </c>
      <c r="B518" s="4" t="s">
        <v>9</v>
      </c>
      <c r="C518" s="4" t="s">
        <v>237</v>
      </c>
      <c r="D518" s="12">
        <v>133</v>
      </c>
      <c r="E518" s="12">
        <v>41</v>
      </c>
      <c r="F518" s="13">
        <v>216694</v>
      </c>
      <c r="G518" s="14">
        <v>0.48</v>
      </c>
      <c r="H518" s="13">
        <v>66893</v>
      </c>
      <c r="I518" s="15">
        <f t="shared" si="24"/>
        <v>0.30827067669172931</v>
      </c>
      <c r="J518" s="13">
        <f t="shared" si="25"/>
        <v>66800.406015037588</v>
      </c>
      <c r="K518" s="13">
        <f t="shared" si="26"/>
        <v>104013.12</v>
      </c>
    </row>
    <row r="519" spans="1:11" x14ac:dyDescent="0.25">
      <c r="A519" s="4" t="s">
        <v>562</v>
      </c>
      <c r="B519" s="4" t="s">
        <v>9</v>
      </c>
      <c r="C519" s="4" t="s">
        <v>237</v>
      </c>
      <c r="D519" s="12">
        <v>18</v>
      </c>
      <c r="E519" s="12">
        <v>4</v>
      </c>
      <c r="F519" s="13">
        <v>121304</v>
      </c>
      <c r="G519" s="14">
        <v>0.32</v>
      </c>
      <c r="H519" s="13">
        <v>27166</v>
      </c>
      <c r="I519" s="15">
        <f t="shared" si="24"/>
        <v>0.22222222222222221</v>
      </c>
      <c r="J519" s="13">
        <f t="shared" si="25"/>
        <v>26956.444444444442</v>
      </c>
      <c r="K519" s="13">
        <f t="shared" si="26"/>
        <v>38817.279999999999</v>
      </c>
    </row>
    <row r="520" spans="1:11" x14ac:dyDescent="0.25">
      <c r="A520" s="4" t="s">
        <v>563</v>
      </c>
      <c r="B520" s="4" t="s">
        <v>9</v>
      </c>
      <c r="C520" s="4" t="s">
        <v>237</v>
      </c>
      <c r="D520" s="12">
        <v>39</v>
      </c>
      <c r="E520" s="12">
        <v>9</v>
      </c>
      <c r="F520" s="13">
        <v>261219</v>
      </c>
      <c r="G520" s="14">
        <v>0.38</v>
      </c>
      <c r="H520" s="13">
        <v>62877</v>
      </c>
      <c r="I520" s="15">
        <f t="shared" si="24"/>
        <v>0.23076923076923078</v>
      </c>
      <c r="J520" s="13">
        <f t="shared" si="25"/>
        <v>60281.307692307695</v>
      </c>
      <c r="K520" s="13">
        <f t="shared" si="26"/>
        <v>99263.22</v>
      </c>
    </row>
    <row r="521" spans="1:11" x14ac:dyDescent="0.25">
      <c r="A521" s="4" t="s">
        <v>564</v>
      </c>
      <c r="B521" s="4" t="s">
        <v>9</v>
      </c>
      <c r="C521" s="4" t="s">
        <v>32</v>
      </c>
      <c r="D521" s="12">
        <v>1132</v>
      </c>
      <c r="E521" s="12">
        <v>505</v>
      </c>
      <c r="F521" s="13">
        <v>12373</v>
      </c>
      <c r="G521" s="14">
        <v>0.51</v>
      </c>
      <c r="H521" s="13">
        <v>6188</v>
      </c>
      <c r="I521" s="15">
        <f t="shared" si="24"/>
        <v>0.446113074204947</v>
      </c>
      <c r="J521" s="13">
        <f t="shared" si="25"/>
        <v>5519.7570671378089</v>
      </c>
      <c r="K521" s="13">
        <f t="shared" si="26"/>
        <v>6310.2300000000005</v>
      </c>
    </row>
    <row r="522" spans="1:11" x14ac:dyDescent="0.25">
      <c r="A522" s="4" t="s">
        <v>565</v>
      </c>
      <c r="B522" s="4" t="s">
        <v>9</v>
      </c>
      <c r="C522" s="4" t="s">
        <v>237</v>
      </c>
      <c r="D522" s="12">
        <v>50</v>
      </c>
      <c r="E522" s="12">
        <v>25</v>
      </c>
      <c r="F522" s="13">
        <v>34737</v>
      </c>
      <c r="G522" s="14">
        <v>0.63</v>
      </c>
      <c r="H522" s="13">
        <v>16951</v>
      </c>
      <c r="I522" s="15">
        <f t="shared" si="24"/>
        <v>0.5</v>
      </c>
      <c r="J522" s="13">
        <f t="shared" si="25"/>
        <v>17368.5</v>
      </c>
      <c r="K522" s="13">
        <f t="shared" si="26"/>
        <v>21884.31</v>
      </c>
    </row>
    <row r="523" spans="1:11" x14ac:dyDescent="0.25">
      <c r="A523" s="4" t="s">
        <v>566</v>
      </c>
      <c r="B523" s="4" t="s">
        <v>9</v>
      </c>
      <c r="C523" s="4" t="s">
        <v>32</v>
      </c>
      <c r="D523" s="12">
        <v>3270</v>
      </c>
      <c r="E523" s="12">
        <v>628</v>
      </c>
      <c r="F523" s="13">
        <v>23838</v>
      </c>
      <c r="G523" s="14">
        <v>0.33</v>
      </c>
      <c r="H523" s="13">
        <v>4708</v>
      </c>
      <c r="I523" s="15">
        <f t="shared" si="24"/>
        <v>0.19204892966360856</v>
      </c>
      <c r="J523" s="13">
        <f t="shared" si="25"/>
        <v>4578.0623853211009</v>
      </c>
      <c r="K523" s="13">
        <f t="shared" si="26"/>
        <v>7866.54</v>
      </c>
    </row>
    <row r="524" spans="1:11" x14ac:dyDescent="0.25">
      <c r="A524" s="4" t="s">
        <v>567</v>
      </c>
      <c r="B524" s="4" t="s">
        <v>9</v>
      </c>
      <c r="C524" s="4" t="s">
        <v>237</v>
      </c>
      <c r="D524" s="12">
        <v>32</v>
      </c>
      <c r="E524" s="12">
        <v>14</v>
      </c>
      <c r="F524" s="13">
        <v>291898</v>
      </c>
      <c r="G524" s="14">
        <v>0.55000000000000004</v>
      </c>
      <c r="H524" s="13">
        <v>132897</v>
      </c>
      <c r="I524" s="15">
        <f t="shared" si="24"/>
        <v>0.4375</v>
      </c>
      <c r="J524" s="13">
        <f t="shared" si="25"/>
        <v>127705.375</v>
      </c>
      <c r="K524" s="13">
        <f t="shared" si="26"/>
        <v>160543.90000000002</v>
      </c>
    </row>
    <row r="525" spans="1:11" x14ac:dyDescent="0.25">
      <c r="A525" s="4" t="s">
        <v>568</v>
      </c>
      <c r="B525" s="4" t="s">
        <v>9</v>
      </c>
      <c r="C525" s="4" t="s">
        <v>32</v>
      </c>
      <c r="D525" s="12">
        <v>3151</v>
      </c>
      <c r="E525" s="12">
        <v>355</v>
      </c>
      <c r="F525" s="13">
        <v>19505</v>
      </c>
      <c r="G525" s="14">
        <v>0.26</v>
      </c>
      <c r="H525" s="13">
        <v>2126</v>
      </c>
      <c r="I525" s="15">
        <f t="shared" si="24"/>
        <v>0.11266264677880038</v>
      </c>
      <c r="J525" s="13">
        <f t="shared" si="25"/>
        <v>2197.4849254205014</v>
      </c>
      <c r="K525" s="13">
        <f t="shared" si="26"/>
        <v>5071.3</v>
      </c>
    </row>
    <row r="526" spans="1:11" x14ac:dyDescent="0.25">
      <c r="A526" s="4" t="s">
        <v>569</v>
      </c>
      <c r="B526" s="4" t="s">
        <v>9</v>
      </c>
      <c r="C526" s="4" t="s">
        <v>237</v>
      </c>
      <c r="D526" s="12">
        <v>192</v>
      </c>
      <c r="E526" s="12">
        <v>69</v>
      </c>
      <c r="F526" s="13">
        <v>59347</v>
      </c>
      <c r="G526" s="14">
        <v>0.49</v>
      </c>
      <c r="H526" s="13">
        <v>20334</v>
      </c>
      <c r="I526" s="15">
        <f t="shared" si="24"/>
        <v>0.359375</v>
      </c>
      <c r="J526" s="13">
        <f t="shared" si="25"/>
        <v>21327.828125</v>
      </c>
      <c r="K526" s="13">
        <f t="shared" si="26"/>
        <v>29080.03</v>
      </c>
    </row>
    <row r="527" spans="1:11" x14ac:dyDescent="0.25">
      <c r="A527" s="4" t="s">
        <v>570</v>
      </c>
      <c r="B527" s="4" t="s">
        <v>9</v>
      </c>
      <c r="C527" s="4" t="s">
        <v>32</v>
      </c>
      <c r="D527" s="12">
        <v>13119</v>
      </c>
      <c r="E527" s="12">
        <v>5019</v>
      </c>
      <c r="F527" s="13">
        <v>84224</v>
      </c>
      <c r="G527" s="14">
        <v>0.51</v>
      </c>
      <c r="H527" s="13">
        <v>33729</v>
      </c>
      <c r="I527" s="15">
        <f t="shared" si="24"/>
        <v>0.38257489137891609</v>
      </c>
      <c r="J527" s="13">
        <f t="shared" si="25"/>
        <v>32221.987651497828</v>
      </c>
      <c r="K527" s="13">
        <f t="shared" si="26"/>
        <v>42954.239999999998</v>
      </c>
    </row>
    <row r="528" spans="1:11" x14ac:dyDescent="0.25">
      <c r="A528" s="4" t="s">
        <v>571</v>
      </c>
      <c r="B528" s="4" t="s">
        <v>9</v>
      </c>
      <c r="C528" s="4" t="s">
        <v>237</v>
      </c>
      <c r="D528" s="12">
        <v>57</v>
      </c>
      <c r="E528" s="12">
        <v>14</v>
      </c>
      <c r="F528" s="13">
        <v>83797</v>
      </c>
      <c r="G528" s="14">
        <v>0.37</v>
      </c>
      <c r="H528" s="13">
        <v>20440</v>
      </c>
      <c r="I528" s="15">
        <f t="shared" si="24"/>
        <v>0.24561403508771928</v>
      </c>
      <c r="J528" s="13">
        <f t="shared" si="25"/>
        <v>20581.719298245614</v>
      </c>
      <c r="K528" s="13">
        <f t="shared" si="26"/>
        <v>31004.89</v>
      </c>
    </row>
    <row r="529" spans="1:11" x14ac:dyDescent="0.25">
      <c r="A529" s="4" t="s">
        <v>572</v>
      </c>
      <c r="B529" s="4" t="s">
        <v>9</v>
      </c>
      <c r="C529" s="4" t="s">
        <v>237</v>
      </c>
      <c r="D529" s="12">
        <v>178</v>
      </c>
      <c r="E529" s="12">
        <v>37</v>
      </c>
      <c r="F529" s="13">
        <v>135234</v>
      </c>
      <c r="G529" s="14">
        <v>0.28999999999999998</v>
      </c>
      <c r="H529" s="13">
        <v>28793</v>
      </c>
      <c r="I529" s="15">
        <f t="shared" si="24"/>
        <v>0.20786516853932585</v>
      </c>
      <c r="J529" s="13">
        <f t="shared" si="25"/>
        <v>28110.438202247191</v>
      </c>
      <c r="K529" s="13">
        <f t="shared" si="26"/>
        <v>39217.86</v>
      </c>
    </row>
    <row r="530" spans="1:11" x14ac:dyDescent="0.25">
      <c r="A530" s="4" t="s">
        <v>573</v>
      </c>
      <c r="B530" s="4" t="s">
        <v>9</v>
      </c>
      <c r="C530" s="4" t="s">
        <v>237</v>
      </c>
      <c r="D530" s="12">
        <v>91</v>
      </c>
      <c r="E530" s="12">
        <v>29</v>
      </c>
      <c r="F530" s="13">
        <v>52186</v>
      </c>
      <c r="G530" s="14">
        <v>0.37</v>
      </c>
      <c r="H530" s="13">
        <v>16299</v>
      </c>
      <c r="I530" s="15">
        <f t="shared" si="24"/>
        <v>0.31868131868131866</v>
      </c>
      <c r="J530" s="13">
        <f t="shared" si="25"/>
        <v>16630.703296703294</v>
      </c>
      <c r="K530" s="13">
        <f t="shared" si="26"/>
        <v>19308.82</v>
      </c>
    </row>
    <row r="531" spans="1:11" x14ac:dyDescent="0.25">
      <c r="A531" s="4" t="s">
        <v>574</v>
      </c>
      <c r="B531" s="4" t="s">
        <v>9</v>
      </c>
      <c r="C531" s="4" t="s">
        <v>237</v>
      </c>
      <c r="D531" s="12">
        <v>13</v>
      </c>
      <c r="E531" s="12">
        <v>6</v>
      </c>
      <c r="F531" s="13">
        <v>72146</v>
      </c>
      <c r="G531" s="14">
        <v>0.66</v>
      </c>
      <c r="H531" s="13">
        <v>32954</v>
      </c>
      <c r="I531" s="15">
        <f t="shared" si="24"/>
        <v>0.46153846153846156</v>
      </c>
      <c r="J531" s="13">
        <f t="shared" si="25"/>
        <v>33298.153846153851</v>
      </c>
      <c r="K531" s="13">
        <f t="shared" si="26"/>
        <v>47616.36</v>
      </c>
    </row>
    <row r="532" spans="1:11" x14ac:dyDescent="0.25">
      <c r="A532" s="4" t="s">
        <v>575</v>
      </c>
      <c r="B532" s="4" t="s">
        <v>9</v>
      </c>
      <c r="C532" s="4" t="s">
        <v>237</v>
      </c>
      <c r="D532" s="12">
        <v>58</v>
      </c>
      <c r="E532" s="12">
        <v>9</v>
      </c>
      <c r="F532" s="13">
        <v>23451</v>
      </c>
      <c r="G532" s="14">
        <v>0.3</v>
      </c>
      <c r="H532" s="13">
        <v>3885</v>
      </c>
      <c r="I532" s="15">
        <f t="shared" si="24"/>
        <v>0.15517241379310345</v>
      </c>
      <c r="J532" s="13">
        <f t="shared" si="25"/>
        <v>3638.9482758620693</v>
      </c>
      <c r="K532" s="13">
        <f t="shared" si="26"/>
        <v>7035.3</v>
      </c>
    </row>
    <row r="533" spans="1:11" x14ac:dyDescent="0.25">
      <c r="A533" s="4" t="s">
        <v>576</v>
      </c>
      <c r="B533" s="4" t="s">
        <v>9</v>
      </c>
      <c r="C533" s="4" t="s">
        <v>32</v>
      </c>
      <c r="D533" s="12">
        <v>888</v>
      </c>
      <c r="E533" s="12">
        <v>231</v>
      </c>
      <c r="F533" s="13">
        <v>5754</v>
      </c>
      <c r="G533" s="14">
        <v>0.46</v>
      </c>
      <c r="H533" s="13">
        <v>1683</v>
      </c>
      <c r="I533" s="15">
        <f t="shared" si="24"/>
        <v>0.26013513513513514</v>
      </c>
      <c r="J533" s="13">
        <f t="shared" si="25"/>
        <v>1496.8175675675677</v>
      </c>
      <c r="K533" s="13">
        <f t="shared" si="26"/>
        <v>2646.84</v>
      </c>
    </row>
    <row r="534" spans="1:11" x14ac:dyDescent="0.25">
      <c r="A534" s="4" t="s">
        <v>577</v>
      </c>
      <c r="B534" s="4" t="s">
        <v>9</v>
      </c>
      <c r="C534" s="4" t="s">
        <v>237</v>
      </c>
      <c r="D534" s="12">
        <v>37</v>
      </c>
      <c r="E534" s="12">
        <v>18</v>
      </c>
      <c r="F534" s="13">
        <v>205292</v>
      </c>
      <c r="G534" s="14">
        <v>0.63</v>
      </c>
      <c r="H534" s="13">
        <v>98063</v>
      </c>
      <c r="I534" s="15">
        <f t="shared" si="24"/>
        <v>0.48648648648648651</v>
      </c>
      <c r="J534" s="13">
        <f t="shared" si="25"/>
        <v>99871.783783783787</v>
      </c>
      <c r="K534" s="13">
        <f t="shared" si="26"/>
        <v>129333.96</v>
      </c>
    </row>
    <row r="535" spans="1:11" x14ac:dyDescent="0.25">
      <c r="A535" s="4" t="s">
        <v>578</v>
      </c>
      <c r="B535" s="4" t="s">
        <v>9</v>
      </c>
      <c r="C535" s="4" t="s">
        <v>32</v>
      </c>
      <c r="D535" s="12">
        <v>10867</v>
      </c>
      <c r="E535" s="12">
        <v>1618</v>
      </c>
      <c r="F535" s="13">
        <v>63137</v>
      </c>
      <c r="G535" s="14">
        <v>0.28000000000000003</v>
      </c>
      <c r="H535" s="13">
        <v>10494</v>
      </c>
      <c r="I535" s="15">
        <f t="shared" si="24"/>
        <v>0.14889113830864084</v>
      </c>
      <c r="J535" s="13">
        <f t="shared" si="25"/>
        <v>9400.5397993926563</v>
      </c>
      <c r="K535" s="13">
        <f t="shared" si="26"/>
        <v>17678.36</v>
      </c>
    </row>
    <row r="536" spans="1:11" x14ac:dyDescent="0.25">
      <c r="A536" s="4" t="s">
        <v>579</v>
      </c>
      <c r="B536" s="4" t="s">
        <v>9</v>
      </c>
      <c r="C536" s="4" t="s">
        <v>32</v>
      </c>
      <c r="D536" s="12">
        <v>2602</v>
      </c>
      <c r="E536" s="12">
        <v>474</v>
      </c>
      <c r="F536" s="13">
        <v>27477</v>
      </c>
      <c r="G536" s="14">
        <v>0.35</v>
      </c>
      <c r="H536" s="13">
        <v>4785</v>
      </c>
      <c r="I536" s="15">
        <f t="shared" si="24"/>
        <v>0.18216756341275941</v>
      </c>
      <c r="J536" s="13">
        <f t="shared" si="25"/>
        <v>5005.4181398923902</v>
      </c>
      <c r="K536" s="13">
        <f t="shared" si="26"/>
        <v>9616.9499999999989</v>
      </c>
    </row>
    <row r="537" spans="1:11" x14ac:dyDescent="0.25">
      <c r="A537" s="4" t="s">
        <v>580</v>
      </c>
      <c r="B537" s="4" t="s">
        <v>9</v>
      </c>
      <c r="C537" s="4" t="s">
        <v>237</v>
      </c>
      <c r="D537" s="12">
        <v>124</v>
      </c>
      <c r="E537" s="12">
        <v>25</v>
      </c>
      <c r="F537" s="13">
        <v>184906</v>
      </c>
      <c r="G537" s="14">
        <v>0.34</v>
      </c>
      <c r="H537" s="13">
        <v>41241</v>
      </c>
      <c r="I537" s="15">
        <f t="shared" si="24"/>
        <v>0.20161290322580644</v>
      </c>
      <c r="J537" s="13">
        <f t="shared" si="25"/>
        <v>37279.435483870962</v>
      </c>
      <c r="K537" s="13">
        <f t="shared" si="26"/>
        <v>62868.040000000008</v>
      </c>
    </row>
    <row r="538" spans="1:11" x14ac:dyDescent="0.25">
      <c r="A538" s="4" t="s">
        <v>581</v>
      </c>
      <c r="B538" s="4" t="s">
        <v>9</v>
      </c>
      <c r="C538" s="4" t="s">
        <v>32</v>
      </c>
      <c r="D538" s="12">
        <v>10243</v>
      </c>
      <c r="E538" s="12">
        <v>4046</v>
      </c>
      <c r="F538" s="13">
        <v>58692</v>
      </c>
      <c r="G538" s="14">
        <v>0.57999999999999996</v>
      </c>
      <c r="H538" s="13">
        <v>22411</v>
      </c>
      <c r="I538" s="15">
        <f t="shared" si="24"/>
        <v>0.39500146441472223</v>
      </c>
      <c r="J538" s="13">
        <f t="shared" si="25"/>
        <v>23183.425949428878</v>
      </c>
      <c r="K538" s="13">
        <f t="shared" si="26"/>
        <v>34041.360000000001</v>
      </c>
    </row>
    <row r="539" spans="1:11" x14ac:dyDescent="0.25">
      <c r="A539" s="4" t="s">
        <v>582</v>
      </c>
      <c r="B539" s="4" t="s">
        <v>9</v>
      </c>
      <c r="C539" s="4" t="s">
        <v>237</v>
      </c>
      <c r="D539" s="12">
        <v>180</v>
      </c>
      <c r="E539" s="12">
        <v>81</v>
      </c>
      <c r="F539" s="13">
        <v>330455</v>
      </c>
      <c r="G539" s="14">
        <v>0.63</v>
      </c>
      <c r="H539" s="13">
        <v>141649</v>
      </c>
      <c r="I539" s="15">
        <f t="shared" si="24"/>
        <v>0.45</v>
      </c>
      <c r="J539" s="13">
        <f t="shared" si="25"/>
        <v>148704.75</v>
      </c>
      <c r="K539" s="13">
        <f t="shared" si="26"/>
        <v>208186.65</v>
      </c>
    </row>
    <row r="540" spans="1:11" x14ac:dyDescent="0.25">
      <c r="A540" s="4" t="s">
        <v>583</v>
      </c>
      <c r="B540" s="4" t="s">
        <v>9</v>
      </c>
      <c r="C540" s="4" t="s">
        <v>237</v>
      </c>
      <c r="D540" s="12">
        <v>56</v>
      </c>
      <c r="E540" s="12">
        <v>23</v>
      </c>
      <c r="F540" s="13">
        <v>29224</v>
      </c>
      <c r="G540" s="14">
        <v>0.54</v>
      </c>
      <c r="H540" s="13">
        <v>12243</v>
      </c>
      <c r="I540" s="15">
        <f t="shared" si="24"/>
        <v>0.4107142857142857</v>
      </c>
      <c r="J540" s="13">
        <f t="shared" si="25"/>
        <v>12002.714285714284</v>
      </c>
      <c r="K540" s="13">
        <f t="shared" si="26"/>
        <v>15780.960000000001</v>
      </c>
    </row>
    <row r="541" spans="1:11" x14ac:dyDescent="0.25">
      <c r="A541" s="4" t="s">
        <v>584</v>
      </c>
      <c r="B541" s="4" t="s">
        <v>9</v>
      </c>
      <c r="C541" s="4" t="s">
        <v>237</v>
      </c>
      <c r="D541" s="12">
        <v>10</v>
      </c>
      <c r="E541" s="12">
        <v>2</v>
      </c>
      <c r="F541" s="13">
        <v>74187</v>
      </c>
      <c r="G541" s="14">
        <v>0.35</v>
      </c>
      <c r="H541" s="13">
        <v>16646</v>
      </c>
      <c r="I541" s="15">
        <f t="shared" si="24"/>
        <v>0.2</v>
      </c>
      <c r="J541" s="13">
        <f t="shared" si="25"/>
        <v>14837.400000000001</v>
      </c>
      <c r="K541" s="13">
        <f t="shared" si="26"/>
        <v>25965.449999999997</v>
      </c>
    </row>
    <row r="542" spans="1:11" x14ac:dyDescent="0.25">
      <c r="A542" s="4" t="s">
        <v>585</v>
      </c>
      <c r="B542" s="4" t="s">
        <v>9</v>
      </c>
      <c r="C542" s="4" t="s">
        <v>237</v>
      </c>
      <c r="D542" s="12">
        <v>151</v>
      </c>
      <c r="E542" s="12">
        <v>42</v>
      </c>
      <c r="F542" s="13">
        <v>102216</v>
      </c>
      <c r="G542" s="14">
        <v>0.46</v>
      </c>
      <c r="H542" s="13">
        <v>28342</v>
      </c>
      <c r="I542" s="15">
        <f t="shared" si="24"/>
        <v>0.27814569536423839</v>
      </c>
      <c r="J542" s="13">
        <f t="shared" si="25"/>
        <v>28430.940397350991</v>
      </c>
      <c r="K542" s="13">
        <f t="shared" si="26"/>
        <v>47019.360000000001</v>
      </c>
    </row>
    <row r="543" spans="1:11" x14ac:dyDescent="0.25">
      <c r="A543" s="4" t="s">
        <v>586</v>
      </c>
      <c r="B543" s="4" t="s">
        <v>9</v>
      </c>
      <c r="C543" s="4" t="s">
        <v>237</v>
      </c>
      <c r="D543" s="12">
        <v>9</v>
      </c>
      <c r="E543" s="12">
        <v>2</v>
      </c>
      <c r="F543" s="13">
        <v>57795</v>
      </c>
      <c r="G543" s="14">
        <v>0.41</v>
      </c>
      <c r="H543" s="13">
        <v>14491</v>
      </c>
      <c r="I543" s="15">
        <f t="shared" si="24"/>
        <v>0.22222222222222221</v>
      </c>
      <c r="J543" s="13">
        <f t="shared" si="25"/>
        <v>12843.333333333332</v>
      </c>
      <c r="K543" s="13">
        <f t="shared" si="26"/>
        <v>23695.949999999997</v>
      </c>
    </row>
    <row r="544" spans="1:11" x14ac:dyDescent="0.25">
      <c r="A544" s="4" t="s">
        <v>587</v>
      </c>
      <c r="B544" s="4" t="s">
        <v>9</v>
      </c>
      <c r="C544" s="4" t="s">
        <v>237</v>
      </c>
      <c r="D544" s="12">
        <v>8</v>
      </c>
      <c r="E544" s="12">
        <v>4</v>
      </c>
      <c r="F544" s="13">
        <v>36045</v>
      </c>
      <c r="G544" s="14">
        <v>0.6</v>
      </c>
      <c r="H544" s="13">
        <v>18052</v>
      </c>
      <c r="I544" s="15">
        <f t="shared" si="24"/>
        <v>0.5</v>
      </c>
      <c r="J544" s="13">
        <f t="shared" si="25"/>
        <v>18022.5</v>
      </c>
      <c r="K544" s="13">
        <f t="shared" si="26"/>
        <v>21627</v>
      </c>
    </row>
    <row r="545" spans="1:11" x14ac:dyDescent="0.25">
      <c r="A545" s="4" t="s">
        <v>588</v>
      </c>
      <c r="B545" s="4" t="s">
        <v>9</v>
      </c>
      <c r="C545" s="4" t="s">
        <v>32</v>
      </c>
      <c r="D545" s="12">
        <v>9531</v>
      </c>
      <c r="E545" s="12">
        <v>1762</v>
      </c>
      <c r="F545" s="13">
        <v>45749</v>
      </c>
      <c r="G545" s="14">
        <v>0.35</v>
      </c>
      <c r="H545" s="13">
        <v>8184</v>
      </c>
      <c r="I545" s="15">
        <f t="shared" si="24"/>
        <v>0.18487042283076277</v>
      </c>
      <c r="J545" s="13">
        <f t="shared" si="25"/>
        <v>8457.6369740845657</v>
      </c>
      <c r="K545" s="13">
        <f t="shared" si="26"/>
        <v>16012.15</v>
      </c>
    </row>
    <row r="546" spans="1:11" x14ac:dyDescent="0.25">
      <c r="A546" s="4" t="s">
        <v>589</v>
      </c>
      <c r="B546" s="4" t="s">
        <v>9</v>
      </c>
      <c r="C546" s="4" t="s">
        <v>32</v>
      </c>
      <c r="D546" s="12">
        <v>8979</v>
      </c>
      <c r="E546" s="12">
        <v>993</v>
      </c>
      <c r="F546" s="13">
        <v>63302</v>
      </c>
      <c r="G546" s="14">
        <v>0.26</v>
      </c>
      <c r="H546" s="13">
        <v>7008</v>
      </c>
      <c r="I546" s="15">
        <f t="shared" si="24"/>
        <v>0.11059137988640161</v>
      </c>
      <c r="J546" s="13">
        <f t="shared" si="25"/>
        <v>7000.655529568995</v>
      </c>
      <c r="K546" s="13">
        <f t="shared" si="26"/>
        <v>16458.52</v>
      </c>
    </row>
    <row r="547" spans="1:11" x14ac:dyDescent="0.25">
      <c r="A547" s="4" t="s">
        <v>590</v>
      </c>
      <c r="B547" s="4" t="s">
        <v>9</v>
      </c>
      <c r="C547" s="4" t="s">
        <v>237</v>
      </c>
      <c r="D547" s="12">
        <v>81</v>
      </c>
      <c r="E547" s="12">
        <v>9</v>
      </c>
      <c r="F547" s="13">
        <v>46377</v>
      </c>
      <c r="G547" s="14">
        <v>0.28000000000000003</v>
      </c>
      <c r="H547" s="13">
        <v>5474</v>
      </c>
      <c r="I547" s="15">
        <f t="shared" si="24"/>
        <v>0.1111111111111111</v>
      </c>
      <c r="J547" s="13">
        <f t="shared" si="25"/>
        <v>5153</v>
      </c>
      <c r="K547" s="13">
        <f t="shared" si="26"/>
        <v>12985.560000000001</v>
      </c>
    </row>
    <row r="548" spans="1:11" x14ac:dyDescent="0.25">
      <c r="A548" s="4" t="s">
        <v>591</v>
      </c>
      <c r="B548" s="4" t="s">
        <v>9</v>
      </c>
      <c r="C548" s="4" t="s">
        <v>237</v>
      </c>
      <c r="D548" s="12">
        <v>16</v>
      </c>
      <c r="E548" s="12">
        <v>7</v>
      </c>
      <c r="F548" s="13">
        <v>99802</v>
      </c>
      <c r="G548" s="14">
        <v>0.59</v>
      </c>
      <c r="H548" s="13">
        <v>44849</v>
      </c>
      <c r="I548" s="15">
        <f t="shared" si="24"/>
        <v>0.4375</v>
      </c>
      <c r="J548" s="13">
        <f t="shared" si="25"/>
        <v>43663.375</v>
      </c>
      <c r="K548" s="13">
        <f t="shared" si="26"/>
        <v>58883.18</v>
      </c>
    </row>
    <row r="549" spans="1:11" x14ac:dyDescent="0.25">
      <c r="A549" s="4" t="s">
        <v>592</v>
      </c>
      <c r="B549" s="4" t="s">
        <v>9</v>
      </c>
      <c r="C549" s="4" t="s">
        <v>32</v>
      </c>
      <c r="D549" s="12">
        <v>3287</v>
      </c>
      <c r="E549" s="12">
        <v>790</v>
      </c>
      <c r="F549" s="13">
        <v>18013</v>
      </c>
      <c r="G549" s="14">
        <v>0.32</v>
      </c>
      <c r="H549" s="13">
        <v>4778</v>
      </c>
      <c r="I549" s="15">
        <f t="shared" si="24"/>
        <v>0.24034073623364771</v>
      </c>
      <c r="J549" s="13">
        <f t="shared" si="25"/>
        <v>4329.2576817766958</v>
      </c>
      <c r="K549" s="13">
        <f t="shared" si="26"/>
        <v>5764.16</v>
      </c>
    </row>
    <row r="550" spans="1:11" x14ac:dyDescent="0.25">
      <c r="A550" s="4" t="s">
        <v>593</v>
      </c>
      <c r="B550" s="4" t="s">
        <v>9</v>
      </c>
      <c r="C550" s="4" t="s">
        <v>237</v>
      </c>
      <c r="D550" s="12">
        <v>81</v>
      </c>
      <c r="E550" s="12">
        <v>20</v>
      </c>
      <c r="F550" s="13">
        <v>93286</v>
      </c>
      <c r="G550" s="14">
        <v>0.43</v>
      </c>
      <c r="H550" s="13">
        <v>22907</v>
      </c>
      <c r="I550" s="15">
        <f t="shared" si="24"/>
        <v>0.24691358024691357</v>
      </c>
      <c r="J550" s="13">
        <f t="shared" si="25"/>
        <v>23033.580246913578</v>
      </c>
      <c r="K550" s="13">
        <f t="shared" si="26"/>
        <v>40112.979999999996</v>
      </c>
    </row>
    <row r="551" spans="1:11" x14ac:dyDescent="0.25">
      <c r="A551" s="4" t="s">
        <v>594</v>
      </c>
      <c r="B551" s="4" t="s">
        <v>9</v>
      </c>
      <c r="C551" s="4" t="s">
        <v>237</v>
      </c>
      <c r="D551" s="12">
        <v>121</v>
      </c>
      <c r="E551" s="12">
        <v>30</v>
      </c>
      <c r="F551" s="13">
        <v>78740</v>
      </c>
      <c r="G551" s="14">
        <v>0.39</v>
      </c>
      <c r="H551" s="13">
        <v>19351</v>
      </c>
      <c r="I551" s="15">
        <f t="shared" si="24"/>
        <v>0.24793388429752067</v>
      </c>
      <c r="J551" s="13">
        <f t="shared" si="25"/>
        <v>19522.314049586777</v>
      </c>
      <c r="K551" s="13">
        <f t="shared" si="26"/>
        <v>30708.600000000002</v>
      </c>
    </row>
    <row r="552" spans="1:11" x14ac:dyDescent="0.25">
      <c r="A552" s="4" t="s">
        <v>595</v>
      </c>
      <c r="B552" s="4" t="s">
        <v>9</v>
      </c>
      <c r="C552" s="4" t="s">
        <v>237</v>
      </c>
      <c r="D552" s="12">
        <v>120</v>
      </c>
      <c r="E552" s="12">
        <v>53</v>
      </c>
      <c r="F552" s="13">
        <v>41334</v>
      </c>
      <c r="G552" s="14">
        <v>0.49</v>
      </c>
      <c r="H552" s="13">
        <v>18031</v>
      </c>
      <c r="I552" s="15">
        <f t="shared" si="24"/>
        <v>0.44166666666666665</v>
      </c>
      <c r="J552" s="13">
        <f t="shared" si="25"/>
        <v>18255.849999999999</v>
      </c>
      <c r="K552" s="13">
        <f t="shared" si="26"/>
        <v>20253.66</v>
      </c>
    </row>
    <row r="553" spans="1:11" x14ac:dyDescent="0.25">
      <c r="A553" s="4" t="s">
        <v>596</v>
      </c>
      <c r="B553" s="4" t="s">
        <v>9</v>
      </c>
      <c r="C553" s="4" t="s">
        <v>237</v>
      </c>
      <c r="D553" s="12">
        <v>13</v>
      </c>
      <c r="E553" s="12">
        <v>1</v>
      </c>
      <c r="F553" s="13">
        <v>59787</v>
      </c>
      <c r="G553" s="14">
        <v>0.23</v>
      </c>
      <c r="H553" s="13">
        <v>5192</v>
      </c>
      <c r="I553" s="15">
        <f t="shared" si="24"/>
        <v>7.6923076923076927E-2</v>
      </c>
      <c r="J553" s="13">
        <f t="shared" si="25"/>
        <v>4599</v>
      </c>
      <c r="K553" s="13">
        <f t="shared" si="26"/>
        <v>13751.01</v>
      </c>
    </row>
    <row r="554" spans="1:11" x14ac:dyDescent="0.25">
      <c r="A554" s="4" t="s">
        <v>597</v>
      </c>
      <c r="B554" s="4" t="s">
        <v>9</v>
      </c>
      <c r="C554" s="4" t="s">
        <v>32</v>
      </c>
      <c r="D554" s="12">
        <v>6171</v>
      </c>
      <c r="E554" s="12">
        <v>1214</v>
      </c>
      <c r="F554" s="13">
        <v>30855</v>
      </c>
      <c r="G554" s="14">
        <v>0.28999999999999998</v>
      </c>
      <c r="H554" s="13">
        <v>5815</v>
      </c>
      <c r="I554" s="15">
        <f t="shared" si="24"/>
        <v>0.19672662453411116</v>
      </c>
      <c r="J554" s="13">
        <f t="shared" si="25"/>
        <v>6070</v>
      </c>
      <c r="K554" s="13">
        <f t="shared" si="26"/>
        <v>8947.9499999999989</v>
      </c>
    </row>
    <row r="555" spans="1:11" x14ac:dyDescent="0.25">
      <c r="A555" s="4" t="s">
        <v>598</v>
      </c>
      <c r="B555" s="4" t="s">
        <v>9</v>
      </c>
      <c r="C555" s="4" t="s">
        <v>237</v>
      </c>
      <c r="D555" s="12">
        <v>2</v>
      </c>
      <c r="E555" s="12">
        <v>0</v>
      </c>
      <c r="F555" s="13">
        <v>24687</v>
      </c>
      <c r="G555" s="14">
        <v>0.11</v>
      </c>
      <c r="H555" s="13">
        <v>0</v>
      </c>
      <c r="I555" s="15">
        <f t="shared" si="24"/>
        <v>0</v>
      </c>
      <c r="J555" s="13">
        <f t="shared" si="25"/>
        <v>0</v>
      </c>
      <c r="K555" s="13">
        <f t="shared" si="26"/>
        <v>2715.57</v>
      </c>
    </row>
    <row r="556" spans="1:11" x14ac:dyDescent="0.25">
      <c r="A556" s="4" t="s">
        <v>599</v>
      </c>
      <c r="B556" s="4" t="s">
        <v>9</v>
      </c>
      <c r="C556" s="4" t="s">
        <v>237</v>
      </c>
      <c r="D556" s="12">
        <v>3</v>
      </c>
      <c r="E556" s="12">
        <v>1</v>
      </c>
      <c r="F556" s="13">
        <v>35990</v>
      </c>
      <c r="G556" s="14">
        <v>0.51</v>
      </c>
      <c r="H556" s="13">
        <v>12299</v>
      </c>
      <c r="I556" s="15">
        <f t="shared" si="24"/>
        <v>0.33333333333333331</v>
      </c>
      <c r="J556" s="13">
        <f t="shared" si="25"/>
        <v>11996.666666666666</v>
      </c>
      <c r="K556" s="13">
        <f t="shared" si="26"/>
        <v>18354.900000000001</v>
      </c>
    </row>
    <row r="557" spans="1:11" x14ac:dyDescent="0.25">
      <c r="A557" s="4" t="s">
        <v>600</v>
      </c>
      <c r="B557" s="4" t="s">
        <v>9</v>
      </c>
      <c r="C557" s="4" t="s">
        <v>237</v>
      </c>
      <c r="D557" s="12">
        <v>38</v>
      </c>
      <c r="E557" s="12">
        <v>11</v>
      </c>
      <c r="F557" s="13">
        <v>61766</v>
      </c>
      <c r="G557" s="14">
        <v>0.49</v>
      </c>
      <c r="H557" s="13">
        <v>17772</v>
      </c>
      <c r="I557" s="15">
        <f t="shared" si="24"/>
        <v>0.28947368421052633</v>
      </c>
      <c r="J557" s="13">
        <f t="shared" si="25"/>
        <v>17879.63157894737</v>
      </c>
      <c r="K557" s="13">
        <f t="shared" si="26"/>
        <v>30265.34</v>
      </c>
    </row>
    <row r="558" spans="1:11" x14ac:dyDescent="0.25">
      <c r="A558" s="4" t="s">
        <v>601</v>
      </c>
      <c r="B558" s="4" t="s">
        <v>9</v>
      </c>
      <c r="C558" s="4" t="s">
        <v>32</v>
      </c>
      <c r="D558" s="12">
        <v>11080</v>
      </c>
      <c r="E558" s="12">
        <v>4613</v>
      </c>
      <c r="F558" s="13">
        <v>79000</v>
      </c>
      <c r="G558" s="14">
        <v>0.53</v>
      </c>
      <c r="H558" s="13">
        <v>35106</v>
      </c>
      <c r="I558" s="15">
        <f t="shared" si="24"/>
        <v>0.41633574007220214</v>
      </c>
      <c r="J558" s="13">
        <f t="shared" si="25"/>
        <v>32890.523465703969</v>
      </c>
      <c r="K558" s="13">
        <f t="shared" si="26"/>
        <v>41870</v>
      </c>
    </row>
    <row r="559" spans="1:11" x14ac:dyDescent="0.25">
      <c r="A559" s="4" t="s">
        <v>602</v>
      </c>
      <c r="B559" s="4" t="s">
        <v>9</v>
      </c>
      <c r="C559" s="4" t="s">
        <v>32</v>
      </c>
      <c r="D559" s="12">
        <v>2059</v>
      </c>
      <c r="E559" s="12">
        <v>975</v>
      </c>
      <c r="F559" s="13">
        <v>20899</v>
      </c>
      <c r="G559" s="14">
        <v>0.64</v>
      </c>
      <c r="H559" s="13">
        <v>9633</v>
      </c>
      <c r="I559" s="15">
        <f t="shared" si="24"/>
        <v>0.47353084021369596</v>
      </c>
      <c r="J559" s="13">
        <f t="shared" si="25"/>
        <v>9896.3210296260313</v>
      </c>
      <c r="K559" s="13">
        <f t="shared" si="26"/>
        <v>13375.36</v>
      </c>
    </row>
    <row r="560" spans="1:11" x14ac:dyDescent="0.25">
      <c r="A560" s="4" t="s">
        <v>603</v>
      </c>
      <c r="B560" s="4" t="s">
        <v>9</v>
      </c>
      <c r="C560" s="4" t="s">
        <v>237</v>
      </c>
      <c r="D560" s="12">
        <v>40</v>
      </c>
      <c r="E560" s="12">
        <v>19</v>
      </c>
      <c r="F560" s="13">
        <v>373628</v>
      </c>
      <c r="G560" s="14">
        <v>0.54</v>
      </c>
      <c r="H560" s="13">
        <v>179509</v>
      </c>
      <c r="I560" s="15">
        <f t="shared" si="24"/>
        <v>0.47499999999999998</v>
      </c>
      <c r="J560" s="13">
        <f t="shared" si="25"/>
        <v>177473.3</v>
      </c>
      <c r="K560" s="13">
        <f t="shared" si="26"/>
        <v>201759.12000000002</v>
      </c>
    </row>
    <row r="561" spans="1:11" x14ac:dyDescent="0.25">
      <c r="A561" s="4" t="s">
        <v>604</v>
      </c>
      <c r="B561" s="4" t="s">
        <v>9</v>
      </c>
      <c r="C561" s="4" t="s">
        <v>237</v>
      </c>
      <c r="D561" s="12">
        <v>2</v>
      </c>
      <c r="E561" s="12">
        <v>0</v>
      </c>
      <c r="F561" s="13">
        <v>12674</v>
      </c>
      <c r="G561" s="14">
        <v>0.05</v>
      </c>
      <c r="H561" s="13">
        <v>0</v>
      </c>
      <c r="I561" s="15">
        <f t="shared" si="24"/>
        <v>0</v>
      </c>
      <c r="J561" s="13">
        <f t="shared" si="25"/>
        <v>0</v>
      </c>
      <c r="K561" s="13">
        <f t="shared" si="26"/>
        <v>633.70000000000005</v>
      </c>
    </row>
    <row r="562" spans="1:11" x14ac:dyDescent="0.25">
      <c r="A562" s="4" t="s">
        <v>605</v>
      </c>
      <c r="B562" s="4" t="s">
        <v>9</v>
      </c>
      <c r="C562" s="4" t="s">
        <v>237</v>
      </c>
      <c r="D562" s="12">
        <v>10</v>
      </c>
      <c r="E562" s="12">
        <v>1</v>
      </c>
      <c r="F562" s="13">
        <v>97281</v>
      </c>
      <c r="G562" s="14">
        <v>0.28000000000000003</v>
      </c>
      <c r="H562" s="13">
        <v>10538</v>
      </c>
      <c r="I562" s="15">
        <f t="shared" si="24"/>
        <v>0.1</v>
      </c>
      <c r="J562" s="13">
        <f t="shared" si="25"/>
        <v>9728.1</v>
      </c>
      <c r="K562" s="13">
        <f t="shared" si="26"/>
        <v>27238.680000000004</v>
      </c>
    </row>
    <row r="563" spans="1:11" x14ac:dyDescent="0.25">
      <c r="A563" s="4" t="s">
        <v>606</v>
      </c>
      <c r="B563" s="4" t="s">
        <v>9</v>
      </c>
      <c r="C563" s="4" t="s">
        <v>237</v>
      </c>
      <c r="D563" s="12">
        <v>39</v>
      </c>
      <c r="E563" s="12">
        <v>8</v>
      </c>
      <c r="F563" s="13">
        <v>36676</v>
      </c>
      <c r="G563" s="14">
        <v>0.3</v>
      </c>
      <c r="H563" s="13">
        <v>7922</v>
      </c>
      <c r="I563" s="15">
        <f t="shared" si="24"/>
        <v>0.20512820512820512</v>
      </c>
      <c r="J563" s="13">
        <f t="shared" si="25"/>
        <v>7523.2820512820508</v>
      </c>
      <c r="K563" s="13">
        <f t="shared" si="26"/>
        <v>11002.8</v>
      </c>
    </row>
    <row r="564" spans="1:11" x14ac:dyDescent="0.25">
      <c r="A564" s="4" t="s">
        <v>607</v>
      </c>
      <c r="B564" s="4" t="s">
        <v>9</v>
      </c>
      <c r="C564" s="4" t="s">
        <v>32</v>
      </c>
      <c r="D564" s="12">
        <v>2957</v>
      </c>
      <c r="E564" s="12">
        <v>1018</v>
      </c>
      <c r="F564" s="13">
        <v>22591</v>
      </c>
      <c r="G564" s="14">
        <v>0.54</v>
      </c>
      <c r="H564" s="13">
        <v>7586</v>
      </c>
      <c r="I564" s="15">
        <f t="shared" si="24"/>
        <v>0.34426783902603991</v>
      </c>
      <c r="J564" s="13">
        <f t="shared" si="25"/>
        <v>7777.3547514372676</v>
      </c>
      <c r="K564" s="13">
        <f t="shared" si="26"/>
        <v>12199.140000000001</v>
      </c>
    </row>
    <row r="565" spans="1:11" x14ac:dyDescent="0.25">
      <c r="A565" s="4" t="s">
        <v>608</v>
      </c>
      <c r="B565" s="4" t="s">
        <v>9</v>
      </c>
      <c r="C565" s="4" t="s">
        <v>32</v>
      </c>
      <c r="D565" s="12">
        <v>13352</v>
      </c>
      <c r="E565" s="12">
        <v>2468</v>
      </c>
      <c r="F565" s="13">
        <v>90927</v>
      </c>
      <c r="G565" s="14">
        <v>0.23</v>
      </c>
      <c r="H565" s="13">
        <v>16683</v>
      </c>
      <c r="I565" s="15">
        <f t="shared" si="24"/>
        <v>0.18484122228879568</v>
      </c>
      <c r="J565" s="13">
        <f t="shared" si="25"/>
        <v>16807.057819053323</v>
      </c>
      <c r="K565" s="13">
        <f t="shared" si="26"/>
        <v>20913.21</v>
      </c>
    </row>
    <row r="566" spans="1:11" x14ac:dyDescent="0.25">
      <c r="A566" s="4" t="s">
        <v>609</v>
      </c>
      <c r="B566" s="4" t="s">
        <v>9</v>
      </c>
      <c r="C566" s="4" t="s">
        <v>32</v>
      </c>
      <c r="D566" s="12">
        <v>12008</v>
      </c>
      <c r="E566" s="12">
        <v>4958</v>
      </c>
      <c r="F566" s="13">
        <v>67245</v>
      </c>
      <c r="G566" s="14">
        <v>0.59</v>
      </c>
      <c r="H566" s="13">
        <v>29373</v>
      </c>
      <c r="I566" s="15">
        <f t="shared" si="24"/>
        <v>0.41289140572951366</v>
      </c>
      <c r="J566" s="13">
        <f t="shared" si="25"/>
        <v>27764.882578281147</v>
      </c>
      <c r="K566" s="13">
        <f t="shared" si="26"/>
        <v>39674.549999999996</v>
      </c>
    </row>
    <row r="567" spans="1:11" x14ac:dyDescent="0.25">
      <c r="A567" s="4" t="s">
        <v>610</v>
      </c>
      <c r="B567" s="4" t="s">
        <v>9</v>
      </c>
      <c r="C567" s="4" t="s">
        <v>237</v>
      </c>
      <c r="D567" s="12">
        <v>39</v>
      </c>
      <c r="E567" s="12">
        <v>15</v>
      </c>
      <c r="F567" s="13">
        <v>214339</v>
      </c>
      <c r="G567" s="14">
        <v>0.43</v>
      </c>
      <c r="H567" s="13">
        <v>79237</v>
      </c>
      <c r="I567" s="15">
        <f t="shared" si="24"/>
        <v>0.38461538461538464</v>
      </c>
      <c r="J567" s="13">
        <f t="shared" si="25"/>
        <v>82438.076923076922</v>
      </c>
      <c r="K567" s="13">
        <f t="shared" si="26"/>
        <v>92165.77</v>
      </c>
    </row>
    <row r="568" spans="1:11" x14ac:dyDescent="0.25">
      <c r="A568" s="4" t="s">
        <v>611</v>
      </c>
      <c r="B568" s="4" t="s">
        <v>9</v>
      </c>
      <c r="C568" s="4" t="s">
        <v>237</v>
      </c>
      <c r="D568" s="12">
        <v>189</v>
      </c>
      <c r="E568" s="12">
        <v>77</v>
      </c>
      <c r="F568" s="13">
        <v>59892</v>
      </c>
      <c r="G568" s="14">
        <v>0.52</v>
      </c>
      <c r="H568" s="13">
        <v>25352</v>
      </c>
      <c r="I568" s="15">
        <f t="shared" si="24"/>
        <v>0.40740740740740738</v>
      </c>
      <c r="J568" s="13">
        <f t="shared" si="25"/>
        <v>24400.444444444442</v>
      </c>
      <c r="K568" s="13">
        <f t="shared" si="26"/>
        <v>31143.84</v>
      </c>
    </row>
    <row r="569" spans="1:11" x14ac:dyDescent="0.25">
      <c r="A569" s="4" t="s">
        <v>612</v>
      </c>
      <c r="B569" s="4" t="s">
        <v>9</v>
      </c>
      <c r="C569" s="4" t="s">
        <v>237</v>
      </c>
      <c r="D569" s="12">
        <v>35</v>
      </c>
      <c r="E569" s="12">
        <v>10</v>
      </c>
      <c r="F569" s="13">
        <v>212181</v>
      </c>
      <c r="G569" s="14">
        <v>0.35</v>
      </c>
      <c r="H569" s="13">
        <v>61902</v>
      </c>
      <c r="I569" s="15">
        <f t="shared" si="24"/>
        <v>0.2857142857142857</v>
      </c>
      <c r="J569" s="13">
        <f t="shared" si="25"/>
        <v>60623.142857142855</v>
      </c>
      <c r="K569" s="13">
        <f t="shared" si="26"/>
        <v>74263.349999999991</v>
      </c>
    </row>
    <row r="570" spans="1:11" x14ac:dyDescent="0.25">
      <c r="A570" s="4" t="s">
        <v>613</v>
      </c>
      <c r="B570" s="4" t="s">
        <v>9</v>
      </c>
      <c r="C570" s="4" t="s">
        <v>237</v>
      </c>
      <c r="D570" s="12">
        <v>7</v>
      </c>
      <c r="E570" s="12">
        <v>3</v>
      </c>
      <c r="F570" s="13">
        <v>59329</v>
      </c>
      <c r="G570" s="14">
        <v>0.57999999999999996</v>
      </c>
      <c r="H570" s="13">
        <v>28362</v>
      </c>
      <c r="I570" s="15">
        <f t="shared" si="24"/>
        <v>0.42857142857142855</v>
      </c>
      <c r="J570" s="13">
        <f t="shared" si="25"/>
        <v>25426.714285714283</v>
      </c>
      <c r="K570" s="13">
        <f t="shared" si="26"/>
        <v>34410.82</v>
      </c>
    </row>
    <row r="571" spans="1:11" x14ac:dyDescent="0.25">
      <c r="A571" s="4" t="s">
        <v>614</v>
      </c>
      <c r="B571" s="4" t="s">
        <v>9</v>
      </c>
      <c r="C571" s="4" t="s">
        <v>237</v>
      </c>
      <c r="D571" s="12">
        <v>153</v>
      </c>
      <c r="E571" s="12">
        <v>65</v>
      </c>
      <c r="F571" s="13">
        <v>70337</v>
      </c>
      <c r="G571" s="14">
        <v>0.49</v>
      </c>
      <c r="H571" s="13">
        <v>28466</v>
      </c>
      <c r="I571" s="15">
        <f t="shared" si="24"/>
        <v>0.42483660130718953</v>
      </c>
      <c r="J571" s="13">
        <f t="shared" si="25"/>
        <v>29881.732026143789</v>
      </c>
      <c r="K571" s="13">
        <f t="shared" si="26"/>
        <v>34465.129999999997</v>
      </c>
    </row>
    <row r="572" spans="1:11" x14ac:dyDescent="0.25">
      <c r="A572" s="4" t="s">
        <v>615</v>
      </c>
      <c r="B572" s="4" t="s">
        <v>9</v>
      </c>
      <c r="C572" s="4" t="s">
        <v>32</v>
      </c>
      <c r="D572" s="12">
        <v>9526</v>
      </c>
      <c r="E572" s="12">
        <v>4430</v>
      </c>
      <c r="F572" s="13">
        <v>66015</v>
      </c>
      <c r="G572" s="14">
        <v>0.53</v>
      </c>
      <c r="H572" s="13">
        <v>29261</v>
      </c>
      <c r="I572" s="15">
        <f t="shared" si="24"/>
        <v>0.46504304010077679</v>
      </c>
      <c r="J572" s="13">
        <f t="shared" si="25"/>
        <v>30699.816292252781</v>
      </c>
      <c r="K572" s="13">
        <f t="shared" si="26"/>
        <v>34987.950000000004</v>
      </c>
    </row>
    <row r="573" spans="1:11" x14ac:dyDescent="0.25">
      <c r="A573" s="4" t="s">
        <v>616</v>
      </c>
      <c r="B573" s="4" t="s">
        <v>9</v>
      </c>
      <c r="C573" s="4" t="s">
        <v>237</v>
      </c>
      <c r="D573" s="12">
        <v>57</v>
      </c>
      <c r="E573" s="12">
        <v>13</v>
      </c>
      <c r="F573" s="13">
        <v>87994</v>
      </c>
      <c r="G573" s="14">
        <v>0.35</v>
      </c>
      <c r="H573" s="13">
        <v>19877</v>
      </c>
      <c r="I573" s="15">
        <f t="shared" si="24"/>
        <v>0.22807017543859648</v>
      </c>
      <c r="J573" s="13">
        <f t="shared" si="25"/>
        <v>20068.807017543859</v>
      </c>
      <c r="K573" s="13">
        <f t="shared" si="26"/>
        <v>30797.899999999998</v>
      </c>
    </row>
    <row r="574" spans="1:11" x14ac:dyDescent="0.25">
      <c r="A574" s="4" t="s">
        <v>617</v>
      </c>
      <c r="B574" s="4" t="s">
        <v>9</v>
      </c>
      <c r="C574" s="4" t="s">
        <v>237</v>
      </c>
      <c r="D574" s="12">
        <v>30</v>
      </c>
      <c r="E574" s="12">
        <v>7</v>
      </c>
      <c r="F574" s="13">
        <v>173298</v>
      </c>
      <c r="G574" s="14">
        <v>0.39</v>
      </c>
      <c r="H574" s="13">
        <v>42582</v>
      </c>
      <c r="I574" s="15">
        <f t="shared" si="24"/>
        <v>0.23333333333333334</v>
      </c>
      <c r="J574" s="13">
        <f t="shared" si="25"/>
        <v>40436.199999999997</v>
      </c>
      <c r="K574" s="13">
        <f t="shared" si="26"/>
        <v>67586.22</v>
      </c>
    </row>
    <row r="575" spans="1:11" x14ac:dyDescent="0.25">
      <c r="A575" s="4" t="s">
        <v>618</v>
      </c>
      <c r="B575" s="4" t="s">
        <v>9</v>
      </c>
      <c r="C575" s="4" t="s">
        <v>237</v>
      </c>
      <c r="D575" s="12">
        <v>28</v>
      </c>
      <c r="E575" s="12">
        <v>8</v>
      </c>
      <c r="F575" s="13">
        <v>202497</v>
      </c>
      <c r="G575" s="14">
        <v>0.39</v>
      </c>
      <c r="H575" s="13">
        <v>62835</v>
      </c>
      <c r="I575" s="15">
        <f t="shared" si="24"/>
        <v>0.2857142857142857</v>
      </c>
      <c r="J575" s="13">
        <f t="shared" si="25"/>
        <v>57856.28571428571</v>
      </c>
      <c r="K575" s="13">
        <f t="shared" si="26"/>
        <v>78973.83</v>
      </c>
    </row>
    <row r="576" spans="1:11" x14ac:dyDescent="0.25">
      <c r="A576" s="4" t="s">
        <v>619</v>
      </c>
      <c r="B576" s="4" t="s">
        <v>9</v>
      </c>
      <c r="C576" s="4" t="s">
        <v>237</v>
      </c>
      <c r="D576" s="12">
        <v>65</v>
      </c>
      <c r="E576" s="12">
        <v>17</v>
      </c>
      <c r="F576" s="13">
        <v>51030</v>
      </c>
      <c r="G576" s="14">
        <v>0.4</v>
      </c>
      <c r="H576" s="13">
        <v>14613</v>
      </c>
      <c r="I576" s="15">
        <f t="shared" si="24"/>
        <v>0.26153846153846155</v>
      </c>
      <c r="J576" s="13">
        <f t="shared" si="25"/>
        <v>13346.307692307693</v>
      </c>
      <c r="K576" s="13">
        <f t="shared" si="26"/>
        <v>20412</v>
      </c>
    </row>
    <row r="577" spans="1:11" x14ac:dyDescent="0.25">
      <c r="A577" s="4" t="s">
        <v>620</v>
      </c>
      <c r="B577" s="4" t="s">
        <v>10</v>
      </c>
      <c r="C577" s="4" t="s">
        <v>237</v>
      </c>
      <c r="D577" s="12">
        <v>243</v>
      </c>
      <c r="E577" s="12">
        <v>181</v>
      </c>
      <c r="F577" s="13">
        <v>34358</v>
      </c>
      <c r="G577" s="14">
        <v>0.93</v>
      </c>
      <c r="H577" s="13">
        <v>24944</v>
      </c>
      <c r="I577" s="15">
        <f t="shared" si="24"/>
        <v>0.74485596707818935</v>
      </c>
      <c r="J577" s="13">
        <f t="shared" si="25"/>
        <v>25591.761316872431</v>
      </c>
      <c r="K577" s="13">
        <f t="shared" si="26"/>
        <v>31952.940000000002</v>
      </c>
    </row>
    <row r="578" spans="1:11" x14ac:dyDescent="0.25">
      <c r="A578" s="4" t="s">
        <v>621</v>
      </c>
      <c r="B578" s="4" t="s">
        <v>10</v>
      </c>
      <c r="C578" s="4" t="s">
        <v>32</v>
      </c>
      <c r="D578" s="12">
        <v>2921</v>
      </c>
      <c r="E578" s="12">
        <v>1169</v>
      </c>
      <c r="F578" s="13">
        <v>13378</v>
      </c>
      <c r="G578" s="14">
        <v>0.49</v>
      </c>
      <c r="H578" s="13">
        <v>5267</v>
      </c>
      <c r="I578" s="15">
        <f t="shared" si="24"/>
        <v>0.4002054091064704</v>
      </c>
      <c r="J578" s="13">
        <f t="shared" si="25"/>
        <v>5353.9479630263613</v>
      </c>
      <c r="K578" s="13">
        <f t="shared" si="26"/>
        <v>6555.22</v>
      </c>
    </row>
    <row r="579" spans="1:11" x14ac:dyDescent="0.25">
      <c r="A579" s="4" t="s">
        <v>622</v>
      </c>
      <c r="B579" s="4" t="s">
        <v>10</v>
      </c>
      <c r="C579" s="4" t="s">
        <v>237</v>
      </c>
      <c r="D579" s="12">
        <v>47</v>
      </c>
      <c r="E579" s="12">
        <v>21</v>
      </c>
      <c r="F579" s="13">
        <v>2860</v>
      </c>
      <c r="G579" s="14">
        <v>0.57999999999999996</v>
      </c>
      <c r="H579" s="13">
        <v>1344</v>
      </c>
      <c r="I579" s="15">
        <f t="shared" si="24"/>
        <v>0.44680851063829785</v>
      </c>
      <c r="J579" s="13">
        <f t="shared" si="25"/>
        <v>1277.8723404255318</v>
      </c>
      <c r="K579" s="13">
        <f t="shared" si="26"/>
        <v>1658.8</v>
      </c>
    </row>
    <row r="580" spans="1:11" x14ac:dyDescent="0.25">
      <c r="A580" s="4" t="s">
        <v>623</v>
      </c>
      <c r="B580" s="4" t="s">
        <v>10</v>
      </c>
      <c r="C580" s="4" t="s">
        <v>32</v>
      </c>
      <c r="D580" s="12">
        <v>2897</v>
      </c>
      <c r="E580" s="12">
        <v>1965</v>
      </c>
      <c r="F580" s="13">
        <v>17411</v>
      </c>
      <c r="G580" s="14">
        <v>0.75</v>
      </c>
      <c r="H580" s="13">
        <v>12888</v>
      </c>
      <c r="I580" s="15">
        <f t="shared" si="24"/>
        <v>0.67828788401794959</v>
      </c>
      <c r="J580" s="13">
        <f t="shared" si="25"/>
        <v>11809.67034863652</v>
      </c>
      <c r="K580" s="13">
        <f t="shared" si="26"/>
        <v>13058.25</v>
      </c>
    </row>
    <row r="581" spans="1:11" x14ac:dyDescent="0.25">
      <c r="A581" s="4" t="s">
        <v>624</v>
      </c>
      <c r="B581" s="4" t="s">
        <v>10</v>
      </c>
      <c r="C581" s="4" t="s">
        <v>32</v>
      </c>
      <c r="D581" s="12">
        <v>13935</v>
      </c>
      <c r="E581" s="12">
        <v>7458</v>
      </c>
      <c r="F581" s="13">
        <v>108972</v>
      </c>
      <c r="G581" s="14">
        <v>0.7</v>
      </c>
      <c r="H581" s="13">
        <v>57081</v>
      </c>
      <c r="I581" s="15">
        <f t="shared" ref="I581:I644" si="27">IF(D581&gt;0,MIN(E581/D581,1),0)</f>
        <v>0.53519913885898818</v>
      </c>
      <c r="J581" s="13">
        <f t="shared" ref="J581:J644" si="28">F581*I581</f>
        <v>58321.720559741661</v>
      </c>
      <c r="K581" s="13">
        <f t="shared" ref="K581:K644" si="29">F581*G581</f>
        <v>76280.399999999994</v>
      </c>
    </row>
    <row r="582" spans="1:11" x14ac:dyDescent="0.25">
      <c r="A582" s="4" t="s">
        <v>625</v>
      </c>
      <c r="B582" s="4" t="s">
        <v>10</v>
      </c>
      <c r="C582" s="4" t="s">
        <v>32</v>
      </c>
      <c r="D582" s="12">
        <v>16394</v>
      </c>
      <c r="E582" s="12">
        <v>11190</v>
      </c>
      <c r="F582" s="13">
        <v>142464</v>
      </c>
      <c r="G582" s="14">
        <v>0.87</v>
      </c>
      <c r="H582" s="13">
        <v>95821</v>
      </c>
      <c r="I582" s="15">
        <f t="shared" si="27"/>
        <v>0.68256679272904719</v>
      </c>
      <c r="J582" s="13">
        <f t="shared" si="28"/>
        <v>97241.195559350977</v>
      </c>
      <c r="K582" s="13">
        <f t="shared" si="29"/>
        <v>123943.67999999999</v>
      </c>
    </row>
    <row r="583" spans="1:11" x14ac:dyDescent="0.25">
      <c r="A583" s="4" t="s">
        <v>626</v>
      </c>
      <c r="B583" s="4" t="s">
        <v>10</v>
      </c>
      <c r="C583" s="4" t="s">
        <v>32</v>
      </c>
      <c r="D583" s="12">
        <v>10108</v>
      </c>
      <c r="E583" s="12">
        <v>10614</v>
      </c>
      <c r="F583" s="13">
        <v>51248</v>
      </c>
      <c r="G583" s="14">
        <v>0.68</v>
      </c>
      <c r="H583" s="13">
        <v>28912</v>
      </c>
      <c r="I583" s="15">
        <f t="shared" si="27"/>
        <v>1</v>
      </c>
      <c r="J583" s="13">
        <f t="shared" si="28"/>
        <v>51248</v>
      </c>
      <c r="K583" s="13">
        <f t="shared" si="29"/>
        <v>34848.639999999999</v>
      </c>
    </row>
    <row r="584" spans="1:11" x14ac:dyDescent="0.25">
      <c r="A584" s="4" t="s">
        <v>627</v>
      </c>
      <c r="B584" s="4" t="s">
        <v>10</v>
      </c>
      <c r="C584" s="4" t="s">
        <v>32</v>
      </c>
      <c r="D584" s="12">
        <v>10354</v>
      </c>
      <c r="E584" s="12">
        <v>6109</v>
      </c>
      <c r="F584" s="13">
        <v>41416</v>
      </c>
      <c r="G584" s="14">
        <v>0.65</v>
      </c>
      <c r="H584" s="13">
        <v>25234</v>
      </c>
      <c r="I584" s="15">
        <f t="shared" si="27"/>
        <v>0.59001352134440799</v>
      </c>
      <c r="J584" s="13">
        <f t="shared" si="28"/>
        <v>24436</v>
      </c>
      <c r="K584" s="13">
        <f t="shared" si="29"/>
        <v>26920.400000000001</v>
      </c>
    </row>
    <row r="585" spans="1:11" x14ac:dyDescent="0.25">
      <c r="A585" s="4" t="s">
        <v>628</v>
      </c>
      <c r="B585" s="4" t="s">
        <v>10</v>
      </c>
      <c r="C585" s="4" t="s">
        <v>32</v>
      </c>
      <c r="D585" s="12">
        <v>5101</v>
      </c>
      <c r="E585" s="12">
        <v>1534</v>
      </c>
      <c r="F585" s="13">
        <v>38819</v>
      </c>
      <c r="G585" s="14">
        <v>0.37</v>
      </c>
      <c r="H585" s="13">
        <v>11267</v>
      </c>
      <c r="I585" s="15">
        <f t="shared" si="27"/>
        <v>0.3007253479709861</v>
      </c>
      <c r="J585" s="13">
        <f t="shared" si="28"/>
        <v>11673.857282885709</v>
      </c>
      <c r="K585" s="13">
        <f t="shared" si="29"/>
        <v>14363.03</v>
      </c>
    </row>
    <row r="586" spans="1:11" x14ac:dyDescent="0.25">
      <c r="A586" s="4" t="s">
        <v>629</v>
      </c>
      <c r="B586" s="4" t="s">
        <v>10</v>
      </c>
      <c r="C586" s="4" t="s">
        <v>237</v>
      </c>
      <c r="D586" s="12">
        <v>2</v>
      </c>
      <c r="E586" s="12">
        <v>1</v>
      </c>
      <c r="F586" s="13">
        <v>353586</v>
      </c>
      <c r="G586" s="14">
        <v>0.59</v>
      </c>
      <c r="H586" s="13">
        <v>181821</v>
      </c>
      <c r="I586" s="15">
        <f t="shared" si="27"/>
        <v>0.5</v>
      </c>
      <c r="J586" s="13">
        <f t="shared" si="28"/>
        <v>176793</v>
      </c>
      <c r="K586" s="13">
        <f t="shared" si="29"/>
        <v>208615.74</v>
      </c>
    </row>
    <row r="587" spans="1:11" x14ac:dyDescent="0.25">
      <c r="A587" s="4" t="s">
        <v>630</v>
      </c>
      <c r="B587" s="4" t="s">
        <v>10</v>
      </c>
      <c r="C587" s="4" t="s">
        <v>237</v>
      </c>
      <c r="D587" s="12">
        <v>1</v>
      </c>
      <c r="E587" s="12">
        <v>0</v>
      </c>
      <c r="F587" s="13">
        <v>165871</v>
      </c>
      <c r="G587" s="14">
        <v>0.1</v>
      </c>
      <c r="H587" s="13">
        <v>0</v>
      </c>
      <c r="I587" s="15">
        <f t="shared" si="27"/>
        <v>0</v>
      </c>
      <c r="J587" s="13">
        <f t="shared" si="28"/>
        <v>0</v>
      </c>
      <c r="K587" s="13">
        <f t="shared" si="29"/>
        <v>16587.100000000002</v>
      </c>
    </row>
    <row r="588" spans="1:11" x14ac:dyDescent="0.25">
      <c r="A588" s="4" t="s">
        <v>631</v>
      </c>
      <c r="B588" s="4" t="s">
        <v>10</v>
      </c>
      <c r="C588" s="4" t="s">
        <v>237</v>
      </c>
      <c r="D588" s="12">
        <v>77</v>
      </c>
      <c r="E588" s="12">
        <v>42</v>
      </c>
      <c r="F588" s="13">
        <v>6413</v>
      </c>
      <c r="G588" s="14">
        <v>0.64</v>
      </c>
      <c r="H588" s="13">
        <v>3953</v>
      </c>
      <c r="I588" s="15">
        <f t="shared" si="27"/>
        <v>0.54545454545454541</v>
      </c>
      <c r="J588" s="13">
        <f t="shared" si="28"/>
        <v>3497.9999999999995</v>
      </c>
      <c r="K588" s="13">
        <f t="shared" si="29"/>
        <v>4104.32</v>
      </c>
    </row>
    <row r="589" spans="1:11" x14ac:dyDescent="0.25">
      <c r="A589" s="4" t="s">
        <v>632</v>
      </c>
      <c r="B589" s="4" t="s">
        <v>10</v>
      </c>
      <c r="C589" s="4" t="s">
        <v>32</v>
      </c>
      <c r="D589" s="12">
        <v>6335</v>
      </c>
      <c r="E589" s="12">
        <v>3054</v>
      </c>
      <c r="F589" s="13">
        <v>64617</v>
      </c>
      <c r="G589" s="14">
        <v>0.54</v>
      </c>
      <c r="H589" s="13">
        <v>32038</v>
      </c>
      <c r="I589" s="15">
        <f t="shared" si="27"/>
        <v>0.48208366219415943</v>
      </c>
      <c r="J589" s="13">
        <f t="shared" si="28"/>
        <v>31150.799999999999</v>
      </c>
      <c r="K589" s="13">
        <f t="shared" si="29"/>
        <v>34893.18</v>
      </c>
    </row>
    <row r="590" spans="1:11" x14ac:dyDescent="0.25">
      <c r="A590" s="4" t="s">
        <v>633</v>
      </c>
      <c r="B590" s="4" t="s">
        <v>10</v>
      </c>
      <c r="C590" s="4" t="s">
        <v>32</v>
      </c>
      <c r="D590" s="12">
        <v>9835</v>
      </c>
      <c r="E590" s="12">
        <v>7042</v>
      </c>
      <c r="F590" s="13">
        <v>35603</v>
      </c>
      <c r="G590" s="14">
        <v>0.89</v>
      </c>
      <c r="H590" s="13">
        <v>24833</v>
      </c>
      <c r="I590" s="15">
        <f t="shared" si="27"/>
        <v>0.7160142348754448</v>
      </c>
      <c r="J590" s="13">
        <f t="shared" si="28"/>
        <v>25492.254804270462</v>
      </c>
      <c r="K590" s="13">
        <f t="shared" si="29"/>
        <v>31686.670000000002</v>
      </c>
    </row>
    <row r="591" spans="1:11" x14ac:dyDescent="0.25">
      <c r="A591" s="4" t="s">
        <v>634</v>
      </c>
      <c r="B591" s="4" t="s">
        <v>10</v>
      </c>
      <c r="C591" s="4" t="s">
        <v>237</v>
      </c>
      <c r="D591" s="12">
        <v>2</v>
      </c>
      <c r="E591" s="12">
        <v>1</v>
      </c>
      <c r="F591" s="13">
        <v>154880</v>
      </c>
      <c r="G591" s="14">
        <v>0.61</v>
      </c>
      <c r="H591" s="13">
        <v>77043</v>
      </c>
      <c r="I591" s="15">
        <f t="shared" si="27"/>
        <v>0.5</v>
      </c>
      <c r="J591" s="13">
        <f t="shared" si="28"/>
        <v>77440</v>
      </c>
      <c r="K591" s="13">
        <f t="shared" si="29"/>
        <v>94476.800000000003</v>
      </c>
    </row>
    <row r="592" spans="1:11" x14ac:dyDescent="0.25">
      <c r="A592" s="4" t="s">
        <v>635</v>
      </c>
      <c r="B592" s="4" t="s">
        <v>10</v>
      </c>
      <c r="C592" s="4" t="s">
        <v>32</v>
      </c>
      <c r="D592" s="12">
        <v>12700</v>
      </c>
      <c r="E592" s="12">
        <v>8553</v>
      </c>
      <c r="F592" s="13">
        <v>151892</v>
      </c>
      <c r="G592" s="14">
        <v>0.73</v>
      </c>
      <c r="H592" s="13">
        <v>96895</v>
      </c>
      <c r="I592" s="15">
        <f t="shared" si="27"/>
        <v>0.67346456692913381</v>
      </c>
      <c r="J592" s="13">
        <f t="shared" si="28"/>
        <v>102293.87999999999</v>
      </c>
      <c r="K592" s="13">
        <f t="shared" si="29"/>
        <v>110881.16</v>
      </c>
    </row>
    <row r="593" spans="1:11" x14ac:dyDescent="0.25">
      <c r="A593" s="4" t="s">
        <v>636</v>
      </c>
      <c r="B593" s="4" t="s">
        <v>10</v>
      </c>
      <c r="C593" s="4" t="s">
        <v>32</v>
      </c>
      <c r="D593" s="12">
        <v>3709</v>
      </c>
      <c r="E593" s="12">
        <v>1412</v>
      </c>
      <c r="F593" s="13">
        <v>23923</v>
      </c>
      <c r="G593" s="14">
        <v>0.48</v>
      </c>
      <c r="H593" s="13">
        <v>9192</v>
      </c>
      <c r="I593" s="15">
        <f t="shared" si="27"/>
        <v>0.38069560528444324</v>
      </c>
      <c r="J593" s="13">
        <f t="shared" si="28"/>
        <v>9107.380965219736</v>
      </c>
      <c r="K593" s="13">
        <f t="shared" si="29"/>
        <v>11483.039999999999</v>
      </c>
    </row>
    <row r="594" spans="1:11" x14ac:dyDescent="0.25">
      <c r="A594" s="4" t="s">
        <v>637</v>
      </c>
      <c r="B594" s="4" t="s">
        <v>10</v>
      </c>
      <c r="C594" s="4" t="s">
        <v>237</v>
      </c>
      <c r="D594" s="12">
        <v>177</v>
      </c>
      <c r="E594" s="12">
        <v>56</v>
      </c>
      <c r="F594" s="13">
        <v>16875</v>
      </c>
      <c r="G594" s="14">
        <v>0.36</v>
      </c>
      <c r="H594" s="13">
        <v>5701</v>
      </c>
      <c r="I594" s="15">
        <f t="shared" si="27"/>
        <v>0.31638418079096048</v>
      </c>
      <c r="J594" s="13">
        <f t="shared" si="28"/>
        <v>5338.9830508474579</v>
      </c>
      <c r="K594" s="13">
        <f t="shared" si="29"/>
        <v>6075</v>
      </c>
    </row>
    <row r="595" spans="1:11" x14ac:dyDescent="0.25">
      <c r="A595" s="4" t="s">
        <v>638</v>
      </c>
      <c r="B595" s="4" t="s">
        <v>10</v>
      </c>
      <c r="C595" s="4" t="s">
        <v>32</v>
      </c>
      <c r="D595" s="12">
        <v>4433</v>
      </c>
      <c r="E595" s="12">
        <v>2614</v>
      </c>
      <c r="F595" s="13">
        <v>23406</v>
      </c>
      <c r="G595" s="14">
        <v>0.7</v>
      </c>
      <c r="H595" s="13">
        <v>13648</v>
      </c>
      <c r="I595" s="15">
        <f t="shared" si="27"/>
        <v>0.58966839612000899</v>
      </c>
      <c r="J595" s="13">
        <f t="shared" si="28"/>
        <v>13801.778479584931</v>
      </c>
      <c r="K595" s="13">
        <f t="shared" si="29"/>
        <v>16384.2</v>
      </c>
    </row>
    <row r="596" spans="1:11" x14ac:dyDescent="0.25">
      <c r="A596" s="4" t="s">
        <v>638</v>
      </c>
      <c r="B596" s="4" t="s">
        <v>10</v>
      </c>
      <c r="C596" s="4" t="s">
        <v>237</v>
      </c>
      <c r="D596" s="12">
        <v>15</v>
      </c>
      <c r="E596" s="12">
        <v>10</v>
      </c>
      <c r="F596" s="13">
        <v>198757</v>
      </c>
      <c r="G596" s="14">
        <v>0.77</v>
      </c>
      <c r="H596" s="13">
        <v>128302</v>
      </c>
      <c r="I596" s="15">
        <f t="shared" si="27"/>
        <v>0.66666666666666663</v>
      </c>
      <c r="J596" s="13">
        <f t="shared" si="28"/>
        <v>132504.66666666666</v>
      </c>
      <c r="K596" s="13">
        <f t="shared" si="29"/>
        <v>153042.89000000001</v>
      </c>
    </row>
    <row r="597" spans="1:11" x14ac:dyDescent="0.25">
      <c r="A597" s="4" t="s">
        <v>639</v>
      </c>
      <c r="B597" s="4" t="s">
        <v>10</v>
      </c>
      <c r="C597" s="4" t="s">
        <v>237</v>
      </c>
      <c r="D597" s="12">
        <v>42</v>
      </c>
      <c r="E597" s="12">
        <v>30</v>
      </c>
      <c r="F597" s="13">
        <v>3363</v>
      </c>
      <c r="G597" s="14">
        <v>0.77</v>
      </c>
      <c r="H597" s="13">
        <v>2395</v>
      </c>
      <c r="I597" s="15">
        <f t="shared" si="27"/>
        <v>0.7142857142857143</v>
      </c>
      <c r="J597" s="13">
        <f t="shared" si="28"/>
        <v>2402.1428571428573</v>
      </c>
      <c r="K597" s="13">
        <f t="shared" si="29"/>
        <v>2589.5100000000002</v>
      </c>
    </row>
    <row r="598" spans="1:11" x14ac:dyDescent="0.25">
      <c r="A598" s="4" t="s">
        <v>640</v>
      </c>
      <c r="B598" s="4" t="s">
        <v>10</v>
      </c>
      <c r="C598" s="4" t="s">
        <v>237</v>
      </c>
      <c r="D598" s="12">
        <v>2</v>
      </c>
      <c r="E598" s="12">
        <v>1</v>
      </c>
      <c r="F598" s="13">
        <v>360675</v>
      </c>
      <c r="G598" s="14">
        <v>0.66</v>
      </c>
      <c r="H598" s="13">
        <v>180566</v>
      </c>
      <c r="I598" s="15">
        <f t="shared" si="27"/>
        <v>0.5</v>
      </c>
      <c r="J598" s="13">
        <f t="shared" si="28"/>
        <v>180337.5</v>
      </c>
      <c r="K598" s="13">
        <f t="shared" si="29"/>
        <v>238045.5</v>
      </c>
    </row>
    <row r="599" spans="1:11" x14ac:dyDescent="0.25">
      <c r="A599" s="4" t="s">
        <v>641</v>
      </c>
      <c r="B599" s="4" t="s">
        <v>10</v>
      </c>
      <c r="C599" s="4" t="s">
        <v>237</v>
      </c>
      <c r="D599" s="12">
        <v>99</v>
      </c>
      <c r="E599" s="12">
        <v>47</v>
      </c>
      <c r="F599" s="13">
        <v>6487</v>
      </c>
      <c r="G599" s="14">
        <v>0.62</v>
      </c>
      <c r="H599" s="13">
        <v>3460</v>
      </c>
      <c r="I599" s="15">
        <f t="shared" si="27"/>
        <v>0.47474747474747475</v>
      </c>
      <c r="J599" s="13">
        <f t="shared" si="28"/>
        <v>3079.6868686868688</v>
      </c>
      <c r="K599" s="13">
        <f t="shared" si="29"/>
        <v>4021.94</v>
      </c>
    </row>
    <row r="600" spans="1:11" x14ac:dyDescent="0.25">
      <c r="A600" s="4" t="s">
        <v>642</v>
      </c>
      <c r="B600" s="4" t="s">
        <v>10</v>
      </c>
      <c r="C600" s="4" t="s">
        <v>32</v>
      </c>
      <c r="D600" s="12">
        <v>1075</v>
      </c>
      <c r="E600" s="12">
        <v>371</v>
      </c>
      <c r="F600" s="13">
        <v>11750</v>
      </c>
      <c r="G600" s="14">
        <v>0.39</v>
      </c>
      <c r="H600" s="13">
        <v>4608</v>
      </c>
      <c r="I600" s="15">
        <f t="shared" si="27"/>
        <v>0.34511627906976744</v>
      </c>
      <c r="J600" s="13">
        <f t="shared" si="28"/>
        <v>4055.1162790697676</v>
      </c>
      <c r="K600" s="13">
        <f t="shared" si="29"/>
        <v>4582.5</v>
      </c>
    </row>
    <row r="601" spans="1:11" x14ac:dyDescent="0.25">
      <c r="A601" s="4" t="s">
        <v>643</v>
      </c>
      <c r="B601" s="4" t="s">
        <v>10</v>
      </c>
      <c r="C601" s="4" t="s">
        <v>237</v>
      </c>
      <c r="D601" s="12">
        <v>20</v>
      </c>
      <c r="E601" s="12">
        <v>12</v>
      </c>
      <c r="F601" s="13">
        <v>165044</v>
      </c>
      <c r="G601" s="14">
        <v>0.77</v>
      </c>
      <c r="H601" s="13">
        <v>107438</v>
      </c>
      <c r="I601" s="15">
        <f t="shared" si="27"/>
        <v>0.6</v>
      </c>
      <c r="J601" s="13">
        <f t="shared" si="28"/>
        <v>99026.4</v>
      </c>
      <c r="K601" s="13">
        <f t="shared" si="29"/>
        <v>127083.88</v>
      </c>
    </row>
    <row r="602" spans="1:11" x14ac:dyDescent="0.25">
      <c r="A602" s="4" t="s">
        <v>644</v>
      </c>
      <c r="B602" s="4" t="s">
        <v>10</v>
      </c>
      <c r="C602" s="4" t="s">
        <v>237</v>
      </c>
      <c r="D602" s="12">
        <v>20</v>
      </c>
      <c r="E602" s="12">
        <v>9</v>
      </c>
      <c r="F602" s="13">
        <v>226684</v>
      </c>
      <c r="G602" s="14">
        <v>0.53</v>
      </c>
      <c r="H602" s="13">
        <v>108302</v>
      </c>
      <c r="I602" s="15">
        <f t="shared" si="27"/>
        <v>0.45</v>
      </c>
      <c r="J602" s="13">
        <f t="shared" si="28"/>
        <v>102007.8</v>
      </c>
      <c r="K602" s="13">
        <f t="shared" si="29"/>
        <v>120142.52</v>
      </c>
    </row>
    <row r="603" spans="1:11" x14ac:dyDescent="0.25">
      <c r="A603" s="4" t="s">
        <v>645</v>
      </c>
      <c r="B603" s="4" t="s">
        <v>10</v>
      </c>
      <c r="C603" s="4" t="s">
        <v>32</v>
      </c>
      <c r="D603" s="12">
        <v>1007</v>
      </c>
      <c r="E603" s="12">
        <v>356</v>
      </c>
      <c r="F603" s="13">
        <v>5659</v>
      </c>
      <c r="G603" s="14">
        <v>0.43</v>
      </c>
      <c r="H603" s="13">
        <v>1958</v>
      </c>
      <c r="I603" s="15">
        <f t="shared" si="27"/>
        <v>0.35352532274081427</v>
      </c>
      <c r="J603" s="13">
        <f t="shared" si="28"/>
        <v>2000.5998013902679</v>
      </c>
      <c r="K603" s="13">
        <f t="shared" si="29"/>
        <v>2433.37</v>
      </c>
    </row>
    <row r="604" spans="1:11" x14ac:dyDescent="0.25">
      <c r="A604" s="4" t="s">
        <v>646</v>
      </c>
      <c r="B604" s="4" t="s">
        <v>10</v>
      </c>
      <c r="C604" s="4" t="s">
        <v>32</v>
      </c>
      <c r="D604" s="12">
        <v>4655</v>
      </c>
      <c r="E604" s="12">
        <v>1753</v>
      </c>
      <c r="F604" s="13">
        <v>40219</v>
      </c>
      <c r="G604" s="14">
        <v>0.46</v>
      </c>
      <c r="H604" s="13">
        <v>16360</v>
      </c>
      <c r="I604" s="15">
        <f t="shared" si="27"/>
        <v>0.37658431793770142</v>
      </c>
      <c r="J604" s="13">
        <f t="shared" si="28"/>
        <v>15145.844683136413</v>
      </c>
      <c r="K604" s="13">
        <f t="shared" si="29"/>
        <v>18500.740000000002</v>
      </c>
    </row>
    <row r="605" spans="1:11" x14ac:dyDescent="0.25">
      <c r="A605" s="4" t="s">
        <v>647</v>
      </c>
      <c r="B605" s="4" t="s">
        <v>10</v>
      </c>
      <c r="C605" s="4" t="s">
        <v>32</v>
      </c>
      <c r="D605" s="12">
        <v>4112</v>
      </c>
      <c r="E605" s="12">
        <v>2346</v>
      </c>
      <c r="F605" s="13">
        <v>19368</v>
      </c>
      <c r="G605" s="14">
        <v>0.66</v>
      </c>
      <c r="H605" s="13">
        <v>12456</v>
      </c>
      <c r="I605" s="15">
        <f t="shared" si="27"/>
        <v>0.57052529182879375</v>
      </c>
      <c r="J605" s="13">
        <f t="shared" si="28"/>
        <v>11049.933852140077</v>
      </c>
      <c r="K605" s="13">
        <f t="shared" si="29"/>
        <v>12782.880000000001</v>
      </c>
    </row>
    <row r="606" spans="1:11" x14ac:dyDescent="0.25">
      <c r="A606" s="4" t="s">
        <v>648</v>
      </c>
      <c r="B606" s="4" t="s">
        <v>10</v>
      </c>
      <c r="C606" s="4" t="s">
        <v>32</v>
      </c>
      <c r="D606" s="12">
        <v>3903</v>
      </c>
      <c r="E606" s="12">
        <v>1651</v>
      </c>
      <c r="F606" s="13">
        <v>30287</v>
      </c>
      <c r="G606" s="14">
        <v>0.55000000000000004</v>
      </c>
      <c r="H606" s="13">
        <v>14448</v>
      </c>
      <c r="I606" s="15">
        <f t="shared" si="27"/>
        <v>0.42300794260825009</v>
      </c>
      <c r="J606" s="13">
        <f t="shared" si="28"/>
        <v>12811.641557776071</v>
      </c>
      <c r="K606" s="13">
        <f t="shared" si="29"/>
        <v>16657.850000000002</v>
      </c>
    </row>
    <row r="607" spans="1:11" x14ac:dyDescent="0.25">
      <c r="A607" s="4" t="s">
        <v>649</v>
      </c>
      <c r="B607" s="4" t="s">
        <v>10</v>
      </c>
      <c r="C607" s="4" t="s">
        <v>237</v>
      </c>
      <c r="D607" s="12">
        <v>19</v>
      </c>
      <c r="E607" s="12">
        <v>6</v>
      </c>
      <c r="F607" s="13">
        <v>146914</v>
      </c>
      <c r="G607" s="14">
        <v>0.4</v>
      </c>
      <c r="H607" s="13">
        <v>43786</v>
      </c>
      <c r="I607" s="15">
        <f t="shared" si="27"/>
        <v>0.31578947368421051</v>
      </c>
      <c r="J607" s="13">
        <f t="shared" si="28"/>
        <v>46393.8947368421</v>
      </c>
      <c r="K607" s="13">
        <f t="shared" si="29"/>
        <v>58765.600000000006</v>
      </c>
    </row>
    <row r="608" spans="1:11" x14ac:dyDescent="0.25">
      <c r="A608" s="4" t="s">
        <v>650</v>
      </c>
      <c r="B608" s="4" t="s">
        <v>10</v>
      </c>
      <c r="C608" s="4" t="s">
        <v>237</v>
      </c>
      <c r="D608" s="12">
        <v>204</v>
      </c>
      <c r="E608" s="12">
        <v>158</v>
      </c>
      <c r="F608" s="13">
        <v>13080</v>
      </c>
      <c r="G608" s="14">
        <v>0.86</v>
      </c>
      <c r="H608" s="13">
        <v>10999</v>
      </c>
      <c r="I608" s="15">
        <f t="shared" si="27"/>
        <v>0.77450980392156865</v>
      </c>
      <c r="J608" s="13">
        <f t="shared" si="28"/>
        <v>10130.588235294117</v>
      </c>
      <c r="K608" s="13">
        <f t="shared" si="29"/>
        <v>11248.8</v>
      </c>
    </row>
    <row r="609" spans="1:11" x14ac:dyDescent="0.25">
      <c r="A609" s="4" t="s">
        <v>651</v>
      </c>
      <c r="B609" s="4" t="s">
        <v>10</v>
      </c>
      <c r="C609" s="4" t="s">
        <v>237</v>
      </c>
      <c r="D609" s="12">
        <v>154</v>
      </c>
      <c r="E609" s="12">
        <v>89</v>
      </c>
      <c r="F609" s="13">
        <v>22392</v>
      </c>
      <c r="G609" s="14">
        <v>0.78</v>
      </c>
      <c r="H609" s="13">
        <v>13808</v>
      </c>
      <c r="I609" s="15">
        <f t="shared" si="27"/>
        <v>0.57792207792207795</v>
      </c>
      <c r="J609" s="13">
        <f t="shared" si="28"/>
        <v>12940.83116883117</v>
      </c>
      <c r="K609" s="13">
        <f t="shared" si="29"/>
        <v>17465.760000000002</v>
      </c>
    </row>
    <row r="610" spans="1:11" x14ac:dyDescent="0.25">
      <c r="A610" s="4" t="s">
        <v>652</v>
      </c>
      <c r="B610" s="4" t="s">
        <v>10</v>
      </c>
      <c r="C610" s="4" t="s">
        <v>237</v>
      </c>
      <c r="D610" s="12">
        <v>2</v>
      </c>
      <c r="E610" s="12">
        <v>2</v>
      </c>
      <c r="F610" s="13">
        <v>332694</v>
      </c>
      <c r="G610" s="14">
        <v>1</v>
      </c>
      <c r="H610" s="13">
        <v>320327</v>
      </c>
      <c r="I610" s="15">
        <f t="shared" si="27"/>
        <v>1</v>
      </c>
      <c r="J610" s="13">
        <f t="shared" si="28"/>
        <v>332694</v>
      </c>
      <c r="K610" s="13">
        <f t="shared" si="29"/>
        <v>332694</v>
      </c>
    </row>
    <row r="611" spans="1:11" x14ac:dyDescent="0.25">
      <c r="A611" s="4" t="s">
        <v>653</v>
      </c>
      <c r="B611" s="4" t="s">
        <v>10</v>
      </c>
      <c r="C611" s="4" t="s">
        <v>32</v>
      </c>
      <c r="D611" s="12">
        <v>5829</v>
      </c>
      <c r="E611" s="12">
        <v>3866</v>
      </c>
      <c r="F611" s="13">
        <v>32876</v>
      </c>
      <c r="G611" s="14">
        <v>0.79</v>
      </c>
      <c r="H611" s="13">
        <v>20748</v>
      </c>
      <c r="I611" s="15">
        <f t="shared" si="27"/>
        <v>0.66323554640590154</v>
      </c>
      <c r="J611" s="13">
        <f t="shared" si="28"/>
        <v>21804.53182364042</v>
      </c>
      <c r="K611" s="13">
        <f t="shared" si="29"/>
        <v>25972.04</v>
      </c>
    </row>
    <row r="612" spans="1:11" x14ac:dyDescent="0.25">
      <c r="A612" s="4" t="s">
        <v>654</v>
      </c>
      <c r="B612" s="4" t="s">
        <v>10</v>
      </c>
      <c r="C612" s="4" t="s">
        <v>32</v>
      </c>
      <c r="D612" s="12">
        <v>2578</v>
      </c>
      <c r="E612" s="12">
        <v>1082</v>
      </c>
      <c r="F612" s="13">
        <v>17969</v>
      </c>
      <c r="G612" s="14">
        <v>0.47</v>
      </c>
      <c r="H612" s="13">
        <v>8072</v>
      </c>
      <c r="I612" s="15">
        <f t="shared" si="27"/>
        <v>0.41970519782777349</v>
      </c>
      <c r="J612" s="13">
        <f t="shared" si="28"/>
        <v>7541.6826997672615</v>
      </c>
      <c r="K612" s="13">
        <f t="shared" si="29"/>
        <v>8445.43</v>
      </c>
    </row>
    <row r="613" spans="1:11" x14ac:dyDescent="0.25">
      <c r="A613" s="4" t="s">
        <v>655</v>
      </c>
      <c r="B613" s="4" t="s">
        <v>10</v>
      </c>
      <c r="C613" s="4" t="s">
        <v>237</v>
      </c>
      <c r="D613" s="12">
        <v>1</v>
      </c>
      <c r="E613" s="12">
        <v>0</v>
      </c>
      <c r="F613" s="13">
        <v>131688</v>
      </c>
      <c r="G613" s="14">
        <v>0.05</v>
      </c>
      <c r="H613" s="13">
        <v>0</v>
      </c>
      <c r="I613" s="15">
        <f t="shared" si="27"/>
        <v>0</v>
      </c>
      <c r="J613" s="13">
        <f t="shared" si="28"/>
        <v>0</v>
      </c>
      <c r="K613" s="13">
        <f t="shared" si="29"/>
        <v>6584.4000000000005</v>
      </c>
    </row>
    <row r="614" spans="1:11" x14ac:dyDescent="0.25">
      <c r="A614" s="4" t="s">
        <v>656</v>
      </c>
      <c r="B614" s="4" t="s">
        <v>10</v>
      </c>
      <c r="C614" s="4" t="s">
        <v>32</v>
      </c>
      <c r="D614" s="12">
        <v>4323</v>
      </c>
      <c r="E614" s="12">
        <v>3008</v>
      </c>
      <c r="F614" s="13">
        <v>17378</v>
      </c>
      <c r="G614" s="14">
        <v>0.85</v>
      </c>
      <c r="H614" s="13">
        <v>12715</v>
      </c>
      <c r="I614" s="15">
        <f t="shared" si="27"/>
        <v>0.69581309275965764</v>
      </c>
      <c r="J614" s="13">
        <f t="shared" si="28"/>
        <v>12091.83992597733</v>
      </c>
      <c r="K614" s="13">
        <f t="shared" si="29"/>
        <v>14771.3</v>
      </c>
    </row>
    <row r="615" spans="1:11" x14ac:dyDescent="0.25">
      <c r="A615" s="4" t="s">
        <v>657</v>
      </c>
      <c r="B615" s="4" t="s">
        <v>10</v>
      </c>
      <c r="C615" s="4" t="s">
        <v>237</v>
      </c>
      <c r="D615" s="12">
        <v>8</v>
      </c>
      <c r="E615" s="12">
        <v>3</v>
      </c>
      <c r="F615" s="13">
        <v>88701</v>
      </c>
      <c r="G615" s="14">
        <v>0.53</v>
      </c>
      <c r="H615" s="13">
        <v>35724</v>
      </c>
      <c r="I615" s="15">
        <f t="shared" si="27"/>
        <v>0.375</v>
      </c>
      <c r="J615" s="13">
        <f t="shared" si="28"/>
        <v>33262.875</v>
      </c>
      <c r="K615" s="13">
        <f t="shared" si="29"/>
        <v>47011.53</v>
      </c>
    </row>
    <row r="616" spans="1:11" x14ac:dyDescent="0.25">
      <c r="A616" s="4" t="s">
        <v>658</v>
      </c>
      <c r="B616" s="4" t="s">
        <v>10</v>
      </c>
      <c r="C616" s="4" t="s">
        <v>32</v>
      </c>
      <c r="D616" s="12">
        <v>1154</v>
      </c>
      <c r="E616" s="12">
        <v>396</v>
      </c>
      <c r="F616" s="13">
        <v>8736</v>
      </c>
      <c r="G616" s="14">
        <v>0.41</v>
      </c>
      <c r="H616" s="13">
        <v>2856</v>
      </c>
      <c r="I616" s="15">
        <f t="shared" si="27"/>
        <v>0.34315424610051992</v>
      </c>
      <c r="J616" s="13">
        <f t="shared" si="28"/>
        <v>2997.7954939341421</v>
      </c>
      <c r="K616" s="13">
        <f t="shared" si="29"/>
        <v>3581.7599999999998</v>
      </c>
    </row>
    <row r="617" spans="1:11" x14ac:dyDescent="0.25">
      <c r="A617" s="4" t="s">
        <v>659</v>
      </c>
      <c r="B617" s="4" t="s">
        <v>10</v>
      </c>
      <c r="C617" s="4" t="s">
        <v>32</v>
      </c>
      <c r="D617" s="12">
        <v>4306</v>
      </c>
      <c r="E617" s="12">
        <v>3103</v>
      </c>
      <c r="F617" s="13">
        <v>27688</v>
      </c>
      <c r="G617" s="14">
        <v>0.92</v>
      </c>
      <c r="H617" s="13">
        <v>22615</v>
      </c>
      <c r="I617" s="15">
        <f t="shared" si="27"/>
        <v>0.72062238736646544</v>
      </c>
      <c r="J617" s="13">
        <f t="shared" si="28"/>
        <v>19952.592661402694</v>
      </c>
      <c r="K617" s="13">
        <f t="shared" si="29"/>
        <v>25472.960000000003</v>
      </c>
    </row>
    <row r="618" spans="1:11" x14ac:dyDescent="0.25">
      <c r="A618" s="4" t="s">
        <v>660</v>
      </c>
      <c r="B618" s="4" t="s">
        <v>10</v>
      </c>
      <c r="C618" s="4" t="s">
        <v>237</v>
      </c>
      <c r="D618" s="12">
        <v>168</v>
      </c>
      <c r="E618" s="12">
        <v>86</v>
      </c>
      <c r="F618" s="13">
        <v>15631</v>
      </c>
      <c r="G618" s="14">
        <v>0.65</v>
      </c>
      <c r="H618" s="13">
        <v>7988</v>
      </c>
      <c r="I618" s="15">
        <f t="shared" si="27"/>
        <v>0.51190476190476186</v>
      </c>
      <c r="J618" s="13">
        <f t="shared" si="28"/>
        <v>8001.583333333333</v>
      </c>
      <c r="K618" s="13">
        <f t="shared" si="29"/>
        <v>10160.15</v>
      </c>
    </row>
    <row r="619" spans="1:11" x14ac:dyDescent="0.25">
      <c r="A619" s="4" t="s">
        <v>661</v>
      </c>
      <c r="B619" s="4" t="s">
        <v>10</v>
      </c>
      <c r="C619" s="4" t="s">
        <v>237</v>
      </c>
      <c r="D619" s="12">
        <v>2</v>
      </c>
      <c r="E619" s="12">
        <v>1</v>
      </c>
      <c r="F619" s="13">
        <v>247703</v>
      </c>
      <c r="G619" s="14">
        <v>0.63</v>
      </c>
      <c r="H619" s="13">
        <v>121885</v>
      </c>
      <c r="I619" s="15">
        <f t="shared" si="27"/>
        <v>0.5</v>
      </c>
      <c r="J619" s="13">
        <f t="shared" si="28"/>
        <v>123851.5</v>
      </c>
      <c r="K619" s="13">
        <f t="shared" si="29"/>
        <v>156052.89000000001</v>
      </c>
    </row>
    <row r="620" spans="1:11" x14ac:dyDescent="0.25">
      <c r="A620" s="4" t="s">
        <v>662</v>
      </c>
      <c r="B620" s="4" t="s">
        <v>10</v>
      </c>
      <c r="C620" s="4" t="s">
        <v>237</v>
      </c>
      <c r="D620" s="12">
        <v>2</v>
      </c>
      <c r="E620" s="12">
        <v>1</v>
      </c>
      <c r="F620" s="13">
        <v>213635</v>
      </c>
      <c r="G620" s="14">
        <v>0.65</v>
      </c>
      <c r="H620" s="13">
        <v>104872</v>
      </c>
      <c r="I620" s="15">
        <f t="shared" si="27"/>
        <v>0.5</v>
      </c>
      <c r="J620" s="13">
        <f t="shared" si="28"/>
        <v>106817.5</v>
      </c>
      <c r="K620" s="13">
        <f t="shared" si="29"/>
        <v>138862.75</v>
      </c>
    </row>
    <row r="621" spans="1:11" x14ac:dyDescent="0.25">
      <c r="A621" s="4" t="s">
        <v>663</v>
      </c>
      <c r="B621" s="4" t="s">
        <v>10</v>
      </c>
      <c r="C621" s="4" t="s">
        <v>237</v>
      </c>
      <c r="D621" s="12">
        <v>97</v>
      </c>
      <c r="E621" s="12">
        <v>40</v>
      </c>
      <c r="F621" s="13">
        <v>9712</v>
      </c>
      <c r="G621" s="14">
        <v>0.49</v>
      </c>
      <c r="H621" s="13">
        <v>4078</v>
      </c>
      <c r="I621" s="15">
        <f t="shared" si="27"/>
        <v>0.41237113402061853</v>
      </c>
      <c r="J621" s="13">
        <f t="shared" si="28"/>
        <v>4004.9484536082473</v>
      </c>
      <c r="K621" s="13">
        <f t="shared" si="29"/>
        <v>4758.88</v>
      </c>
    </row>
    <row r="622" spans="1:11" x14ac:dyDescent="0.25">
      <c r="A622" s="4" t="s">
        <v>664</v>
      </c>
      <c r="B622" s="4" t="s">
        <v>10</v>
      </c>
      <c r="C622" s="4" t="s">
        <v>237</v>
      </c>
      <c r="D622" s="12">
        <v>129</v>
      </c>
      <c r="E622" s="12">
        <v>89</v>
      </c>
      <c r="F622" s="13">
        <v>16724</v>
      </c>
      <c r="G622" s="14">
        <v>0.81</v>
      </c>
      <c r="H622" s="13">
        <v>11051</v>
      </c>
      <c r="I622" s="15">
        <f t="shared" si="27"/>
        <v>0.68992248062015504</v>
      </c>
      <c r="J622" s="13">
        <f t="shared" si="28"/>
        <v>11538.263565891473</v>
      </c>
      <c r="K622" s="13">
        <f t="shared" si="29"/>
        <v>13546.44</v>
      </c>
    </row>
    <row r="623" spans="1:11" x14ac:dyDescent="0.25">
      <c r="A623" s="4" t="s">
        <v>665</v>
      </c>
      <c r="B623" s="4" t="s">
        <v>10</v>
      </c>
      <c r="C623" s="4" t="s">
        <v>32</v>
      </c>
      <c r="D623" s="12">
        <v>13144</v>
      </c>
      <c r="E623" s="12">
        <v>9327</v>
      </c>
      <c r="F623" s="13">
        <v>116719</v>
      </c>
      <c r="G623" s="14">
        <v>0.88</v>
      </c>
      <c r="H623" s="13">
        <v>80642</v>
      </c>
      <c r="I623" s="15">
        <f t="shared" si="27"/>
        <v>0.7096013390139988</v>
      </c>
      <c r="J623" s="13">
        <f t="shared" si="28"/>
        <v>82823.958688374929</v>
      </c>
      <c r="K623" s="13">
        <f t="shared" si="29"/>
        <v>102712.72</v>
      </c>
    </row>
    <row r="624" spans="1:11" x14ac:dyDescent="0.25">
      <c r="A624" s="4" t="s">
        <v>666</v>
      </c>
      <c r="B624" s="4" t="s">
        <v>10</v>
      </c>
      <c r="C624" s="4" t="s">
        <v>32</v>
      </c>
      <c r="D624" s="12">
        <v>6408</v>
      </c>
      <c r="E624" s="12">
        <v>2156</v>
      </c>
      <c r="F624" s="13">
        <v>30246</v>
      </c>
      <c r="G624" s="14">
        <v>0.43</v>
      </c>
      <c r="H624" s="13">
        <v>10218</v>
      </c>
      <c r="I624" s="15">
        <f t="shared" si="27"/>
        <v>0.33645443196004993</v>
      </c>
      <c r="J624" s="13">
        <f t="shared" si="28"/>
        <v>10176.40074906367</v>
      </c>
      <c r="K624" s="13">
        <f t="shared" si="29"/>
        <v>13005.78</v>
      </c>
    </row>
    <row r="625" spans="1:11" x14ac:dyDescent="0.25">
      <c r="A625" s="4" t="s">
        <v>667</v>
      </c>
      <c r="B625" s="4" t="s">
        <v>10</v>
      </c>
      <c r="C625" s="4" t="s">
        <v>32</v>
      </c>
      <c r="D625" s="12">
        <v>3786</v>
      </c>
      <c r="E625" s="12">
        <v>1321</v>
      </c>
      <c r="F625" s="13">
        <v>26048</v>
      </c>
      <c r="G625" s="14">
        <v>0.42</v>
      </c>
      <c r="H625" s="13">
        <v>10219</v>
      </c>
      <c r="I625" s="15">
        <f t="shared" si="27"/>
        <v>0.34891706286318014</v>
      </c>
      <c r="J625" s="13">
        <f t="shared" si="28"/>
        <v>9088.5916534601165</v>
      </c>
      <c r="K625" s="13">
        <f t="shared" si="29"/>
        <v>10940.16</v>
      </c>
    </row>
    <row r="626" spans="1:11" x14ac:dyDescent="0.25">
      <c r="A626" s="4" t="s">
        <v>668</v>
      </c>
      <c r="B626" s="4" t="s">
        <v>10</v>
      </c>
      <c r="C626" s="4" t="s">
        <v>32</v>
      </c>
      <c r="D626" s="12">
        <v>11112</v>
      </c>
      <c r="E626" s="12">
        <v>7628</v>
      </c>
      <c r="F626" s="13">
        <v>106120</v>
      </c>
      <c r="G626" s="14">
        <v>0.75</v>
      </c>
      <c r="H626" s="13">
        <v>70038</v>
      </c>
      <c r="I626" s="15">
        <f t="shared" si="27"/>
        <v>0.68646508279337648</v>
      </c>
      <c r="J626" s="13">
        <f t="shared" si="28"/>
        <v>72847.674586033114</v>
      </c>
      <c r="K626" s="13">
        <f t="shared" si="29"/>
        <v>79590</v>
      </c>
    </row>
    <row r="627" spans="1:11" x14ac:dyDescent="0.25">
      <c r="A627" s="4" t="s">
        <v>669</v>
      </c>
      <c r="B627" s="4" t="s">
        <v>10</v>
      </c>
      <c r="C627" s="4" t="s">
        <v>237</v>
      </c>
      <c r="D627" s="12">
        <v>1</v>
      </c>
      <c r="E627" s="12">
        <v>0</v>
      </c>
      <c r="F627" s="13">
        <v>138313</v>
      </c>
      <c r="G627" s="14">
        <v>0.05</v>
      </c>
      <c r="H627" s="13">
        <v>0</v>
      </c>
      <c r="I627" s="15">
        <f t="shared" si="27"/>
        <v>0</v>
      </c>
      <c r="J627" s="13">
        <f t="shared" si="28"/>
        <v>0</v>
      </c>
      <c r="K627" s="13">
        <f t="shared" si="29"/>
        <v>6915.6500000000005</v>
      </c>
    </row>
    <row r="628" spans="1:11" x14ac:dyDescent="0.25">
      <c r="A628" s="4" t="s">
        <v>670</v>
      </c>
      <c r="B628" s="4" t="s">
        <v>10</v>
      </c>
      <c r="C628" s="4" t="s">
        <v>237</v>
      </c>
      <c r="D628" s="12">
        <v>180</v>
      </c>
      <c r="E628" s="12">
        <v>122</v>
      </c>
      <c r="F628" s="13">
        <v>26051</v>
      </c>
      <c r="G628" s="14">
        <v>0.81</v>
      </c>
      <c r="H628" s="13">
        <v>19465</v>
      </c>
      <c r="I628" s="15">
        <f t="shared" si="27"/>
        <v>0.67777777777777781</v>
      </c>
      <c r="J628" s="13">
        <f t="shared" si="28"/>
        <v>17656.788888888888</v>
      </c>
      <c r="K628" s="13">
        <f t="shared" si="29"/>
        <v>21101.31</v>
      </c>
    </row>
    <row r="629" spans="1:11" x14ac:dyDescent="0.25">
      <c r="A629" s="4" t="s">
        <v>671</v>
      </c>
      <c r="B629" s="4" t="s">
        <v>10</v>
      </c>
      <c r="C629" s="4" t="s">
        <v>32</v>
      </c>
      <c r="D629" s="12">
        <v>5848</v>
      </c>
      <c r="E629" s="12">
        <v>2289</v>
      </c>
      <c r="F629" s="13">
        <v>38714</v>
      </c>
      <c r="G629" s="14">
        <v>0.48</v>
      </c>
      <c r="H629" s="13">
        <v>16203</v>
      </c>
      <c r="I629" s="15">
        <f t="shared" si="27"/>
        <v>0.39141586867305062</v>
      </c>
      <c r="J629" s="13">
        <f t="shared" si="28"/>
        <v>15153.273939808481</v>
      </c>
      <c r="K629" s="13">
        <f t="shared" si="29"/>
        <v>18582.719999999998</v>
      </c>
    </row>
    <row r="630" spans="1:11" x14ac:dyDescent="0.25">
      <c r="A630" s="4" t="s">
        <v>672</v>
      </c>
      <c r="B630" s="4" t="s">
        <v>10</v>
      </c>
      <c r="C630" s="4" t="s">
        <v>32</v>
      </c>
      <c r="D630" s="12">
        <v>6211</v>
      </c>
      <c r="E630" s="12">
        <v>4756</v>
      </c>
      <c r="F630" s="13">
        <v>35403</v>
      </c>
      <c r="G630" s="14">
        <v>0.93</v>
      </c>
      <c r="H630" s="13">
        <v>27924</v>
      </c>
      <c r="I630" s="15">
        <f t="shared" si="27"/>
        <v>0.76573820640798584</v>
      </c>
      <c r="J630" s="13">
        <f t="shared" si="28"/>
        <v>27109.429721461922</v>
      </c>
      <c r="K630" s="13">
        <f t="shared" si="29"/>
        <v>32924.79</v>
      </c>
    </row>
    <row r="631" spans="1:11" x14ac:dyDescent="0.25">
      <c r="A631" s="4" t="s">
        <v>673</v>
      </c>
      <c r="B631" s="4" t="s">
        <v>10</v>
      </c>
      <c r="C631" s="4" t="s">
        <v>32</v>
      </c>
      <c r="D631" s="12">
        <v>3602</v>
      </c>
      <c r="E631" s="12">
        <v>1139</v>
      </c>
      <c r="F631" s="13">
        <v>18190</v>
      </c>
      <c r="G631" s="14">
        <v>0.48</v>
      </c>
      <c r="H631" s="13">
        <v>6128</v>
      </c>
      <c r="I631" s="15">
        <f t="shared" si="27"/>
        <v>0.31621321488062187</v>
      </c>
      <c r="J631" s="13">
        <f t="shared" si="28"/>
        <v>5751.9183786785115</v>
      </c>
      <c r="K631" s="13">
        <f t="shared" si="29"/>
        <v>8731.1999999999989</v>
      </c>
    </row>
    <row r="632" spans="1:11" x14ac:dyDescent="0.25">
      <c r="A632" s="4" t="s">
        <v>674</v>
      </c>
      <c r="B632" s="4" t="s">
        <v>10</v>
      </c>
      <c r="C632" s="4" t="s">
        <v>32</v>
      </c>
      <c r="D632" s="12">
        <v>4044</v>
      </c>
      <c r="E632" s="12">
        <v>1513</v>
      </c>
      <c r="F632" s="13">
        <v>29643</v>
      </c>
      <c r="G632" s="14">
        <v>0.5</v>
      </c>
      <c r="H632" s="13">
        <v>11569</v>
      </c>
      <c r="I632" s="15">
        <f t="shared" si="27"/>
        <v>0.37413452027695349</v>
      </c>
      <c r="J632" s="13">
        <f t="shared" si="28"/>
        <v>11090.469584569732</v>
      </c>
      <c r="K632" s="13">
        <f t="shared" si="29"/>
        <v>14821.5</v>
      </c>
    </row>
    <row r="633" spans="1:11" x14ac:dyDescent="0.25">
      <c r="A633" s="4" t="s">
        <v>675</v>
      </c>
      <c r="B633" s="4" t="s">
        <v>10</v>
      </c>
      <c r="C633" s="4" t="s">
        <v>237</v>
      </c>
      <c r="D633" s="12">
        <v>15</v>
      </c>
      <c r="E633" s="12">
        <v>6</v>
      </c>
      <c r="F633" s="13">
        <v>129541</v>
      </c>
      <c r="G633" s="14">
        <v>0.56999999999999995</v>
      </c>
      <c r="H633" s="13">
        <v>55402</v>
      </c>
      <c r="I633" s="15">
        <f t="shared" si="27"/>
        <v>0.4</v>
      </c>
      <c r="J633" s="13">
        <f t="shared" si="28"/>
        <v>51816.4</v>
      </c>
      <c r="K633" s="13">
        <f t="shared" si="29"/>
        <v>73838.37</v>
      </c>
    </row>
    <row r="634" spans="1:11" x14ac:dyDescent="0.25">
      <c r="A634" s="4" t="s">
        <v>676</v>
      </c>
      <c r="B634" s="4" t="s">
        <v>10</v>
      </c>
      <c r="C634" s="4" t="s">
        <v>32</v>
      </c>
      <c r="D634" s="12">
        <v>3218</v>
      </c>
      <c r="E634" s="12">
        <v>2205</v>
      </c>
      <c r="F634" s="13">
        <v>36299</v>
      </c>
      <c r="G634" s="14">
        <v>0.76</v>
      </c>
      <c r="H634" s="13">
        <v>26943</v>
      </c>
      <c r="I634" s="15">
        <f t="shared" si="27"/>
        <v>0.68520820385332504</v>
      </c>
      <c r="J634" s="13">
        <f t="shared" si="28"/>
        <v>24872.372591671847</v>
      </c>
      <c r="K634" s="13">
        <f t="shared" si="29"/>
        <v>27587.24</v>
      </c>
    </row>
    <row r="635" spans="1:11" x14ac:dyDescent="0.25">
      <c r="A635" s="4" t="s">
        <v>677</v>
      </c>
      <c r="B635" s="4" t="s">
        <v>10</v>
      </c>
      <c r="C635" s="4" t="s">
        <v>237</v>
      </c>
      <c r="D635" s="12">
        <v>171</v>
      </c>
      <c r="E635" s="12">
        <v>130</v>
      </c>
      <c r="F635" s="13">
        <v>15537</v>
      </c>
      <c r="G635" s="14">
        <v>0.91</v>
      </c>
      <c r="H635" s="13">
        <v>11714</v>
      </c>
      <c r="I635" s="15">
        <f t="shared" si="27"/>
        <v>0.76023391812865493</v>
      </c>
      <c r="J635" s="13">
        <f t="shared" si="28"/>
        <v>11811.754385964912</v>
      </c>
      <c r="K635" s="13">
        <f t="shared" si="29"/>
        <v>14138.67</v>
      </c>
    </row>
    <row r="636" spans="1:11" x14ac:dyDescent="0.25">
      <c r="A636" s="4" t="s">
        <v>678</v>
      </c>
      <c r="B636" s="4" t="s">
        <v>10</v>
      </c>
      <c r="C636" s="4" t="s">
        <v>32</v>
      </c>
      <c r="D636" s="12">
        <v>1860</v>
      </c>
      <c r="E636" s="12">
        <v>1217</v>
      </c>
      <c r="F636" s="13">
        <v>20497</v>
      </c>
      <c r="G636" s="14">
        <v>0.71</v>
      </c>
      <c r="H636" s="13">
        <v>13401</v>
      </c>
      <c r="I636" s="15">
        <f t="shared" si="27"/>
        <v>0.6543010752688172</v>
      </c>
      <c r="J636" s="13">
        <f t="shared" si="28"/>
        <v>13411.209139784945</v>
      </c>
      <c r="K636" s="13">
        <f t="shared" si="29"/>
        <v>14552.869999999999</v>
      </c>
    </row>
    <row r="637" spans="1:11" x14ac:dyDescent="0.25">
      <c r="A637" s="4" t="s">
        <v>679</v>
      </c>
      <c r="B637" s="4" t="s">
        <v>10</v>
      </c>
      <c r="C637" s="4" t="s">
        <v>32</v>
      </c>
      <c r="D637" s="12">
        <v>3850</v>
      </c>
      <c r="E637" s="12">
        <v>1160</v>
      </c>
      <c r="F637" s="13">
        <v>23446</v>
      </c>
      <c r="G637" s="14">
        <v>0.48</v>
      </c>
      <c r="H637" s="13">
        <v>7938</v>
      </c>
      <c r="I637" s="15">
        <f t="shared" si="27"/>
        <v>0.30129870129870129</v>
      </c>
      <c r="J637" s="13">
        <f t="shared" si="28"/>
        <v>7064.2493506493502</v>
      </c>
      <c r="K637" s="13">
        <f t="shared" si="29"/>
        <v>11254.08</v>
      </c>
    </row>
    <row r="638" spans="1:11" x14ac:dyDescent="0.25">
      <c r="A638" s="4" t="s">
        <v>680</v>
      </c>
      <c r="B638" s="4" t="s">
        <v>10</v>
      </c>
      <c r="C638" s="4" t="s">
        <v>237</v>
      </c>
      <c r="D638" s="12">
        <v>1</v>
      </c>
      <c r="E638" s="12">
        <v>0</v>
      </c>
      <c r="F638" s="13">
        <v>84719</v>
      </c>
      <c r="G638" s="14">
        <v>0.12</v>
      </c>
      <c r="H638" s="13">
        <v>0</v>
      </c>
      <c r="I638" s="15">
        <f t="shared" si="27"/>
        <v>0</v>
      </c>
      <c r="J638" s="13">
        <f t="shared" si="28"/>
        <v>0</v>
      </c>
      <c r="K638" s="13">
        <f t="shared" si="29"/>
        <v>10166.279999999999</v>
      </c>
    </row>
    <row r="639" spans="1:11" x14ac:dyDescent="0.25">
      <c r="A639" s="4" t="s">
        <v>681</v>
      </c>
      <c r="B639" s="4" t="s">
        <v>10</v>
      </c>
      <c r="C639" s="4" t="s">
        <v>237</v>
      </c>
      <c r="D639" s="12">
        <v>15</v>
      </c>
      <c r="E639" s="12">
        <v>7</v>
      </c>
      <c r="F639" s="13">
        <v>150883</v>
      </c>
      <c r="G639" s="14">
        <v>0.52</v>
      </c>
      <c r="H639" s="13">
        <v>77284</v>
      </c>
      <c r="I639" s="15">
        <f t="shared" si="27"/>
        <v>0.46666666666666667</v>
      </c>
      <c r="J639" s="13">
        <f t="shared" si="28"/>
        <v>70412.066666666666</v>
      </c>
      <c r="K639" s="13">
        <f t="shared" si="29"/>
        <v>78459.16</v>
      </c>
    </row>
    <row r="640" spans="1:11" x14ac:dyDescent="0.25">
      <c r="A640" s="4" t="s">
        <v>682</v>
      </c>
      <c r="B640" s="4" t="s">
        <v>10</v>
      </c>
      <c r="C640" s="4" t="s">
        <v>237</v>
      </c>
      <c r="D640" s="12">
        <v>53</v>
      </c>
      <c r="E640" s="12">
        <v>32</v>
      </c>
      <c r="F640" s="13">
        <v>3579</v>
      </c>
      <c r="G640" s="14">
        <v>0.65</v>
      </c>
      <c r="H640" s="13">
        <v>2305</v>
      </c>
      <c r="I640" s="15">
        <f t="shared" si="27"/>
        <v>0.60377358490566035</v>
      </c>
      <c r="J640" s="13">
        <f t="shared" si="28"/>
        <v>2160.9056603773583</v>
      </c>
      <c r="K640" s="13">
        <f t="shared" si="29"/>
        <v>2326.35</v>
      </c>
    </row>
    <row r="641" spans="1:11" x14ac:dyDescent="0.25">
      <c r="A641" s="4" t="s">
        <v>683</v>
      </c>
      <c r="B641" s="4" t="s">
        <v>10</v>
      </c>
      <c r="C641" s="4" t="s">
        <v>237</v>
      </c>
      <c r="D641" s="12">
        <v>17</v>
      </c>
      <c r="E641" s="12">
        <v>12</v>
      </c>
      <c r="F641" s="13">
        <v>197702</v>
      </c>
      <c r="G641" s="14">
        <v>0.75</v>
      </c>
      <c r="H641" s="13">
        <v>136900</v>
      </c>
      <c r="I641" s="15">
        <f t="shared" si="27"/>
        <v>0.70588235294117652</v>
      </c>
      <c r="J641" s="13">
        <f t="shared" si="28"/>
        <v>139554.35294117648</v>
      </c>
      <c r="K641" s="13">
        <f t="shared" si="29"/>
        <v>148276.5</v>
      </c>
    </row>
    <row r="642" spans="1:11" x14ac:dyDescent="0.25">
      <c r="A642" s="4" t="s">
        <v>684</v>
      </c>
      <c r="B642" s="4" t="s">
        <v>10</v>
      </c>
      <c r="C642" s="4" t="s">
        <v>237</v>
      </c>
      <c r="D642" s="12">
        <v>18</v>
      </c>
      <c r="E642" s="12">
        <v>9</v>
      </c>
      <c r="F642" s="13">
        <v>124624</v>
      </c>
      <c r="G642" s="14">
        <v>0.61</v>
      </c>
      <c r="H642" s="13">
        <v>60246</v>
      </c>
      <c r="I642" s="15">
        <f t="shared" si="27"/>
        <v>0.5</v>
      </c>
      <c r="J642" s="13">
        <f t="shared" si="28"/>
        <v>62312</v>
      </c>
      <c r="K642" s="13">
        <f t="shared" si="29"/>
        <v>76020.639999999999</v>
      </c>
    </row>
    <row r="643" spans="1:11" x14ac:dyDescent="0.25">
      <c r="A643" s="4" t="s">
        <v>685</v>
      </c>
      <c r="B643" s="4" t="s">
        <v>10</v>
      </c>
      <c r="C643" s="4" t="s">
        <v>237</v>
      </c>
      <c r="D643" s="12">
        <v>15</v>
      </c>
      <c r="E643" s="12">
        <v>9</v>
      </c>
      <c r="F643" s="13">
        <v>146236</v>
      </c>
      <c r="G643" s="14">
        <v>0.8</v>
      </c>
      <c r="H643" s="13">
        <v>83417</v>
      </c>
      <c r="I643" s="15">
        <f t="shared" si="27"/>
        <v>0.6</v>
      </c>
      <c r="J643" s="13">
        <f t="shared" si="28"/>
        <v>87741.599999999991</v>
      </c>
      <c r="K643" s="13">
        <f t="shared" si="29"/>
        <v>116988.8</v>
      </c>
    </row>
    <row r="644" spans="1:11" x14ac:dyDescent="0.25">
      <c r="A644" s="4" t="s">
        <v>686</v>
      </c>
      <c r="B644" s="4" t="s">
        <v>10</v>
      </c>
      <c r="C644" s="4" t="s">
        <v>32</v>
      </c>
      <c r="D644" s="12">
        <v>877</v>
      </c>
      <c r="E644" s="12">
        <v>519</v>
      </c>
      <c r="F644" s="13">
        <v>8384</v>
      </c>
      <c r="G644" s="14">
        <v>0.76</v>
      </c>
      <c r="H644" s="13">
        <v>4784</v>
      </c>
      <c r="I644" s="15">
        <f t="shared" si="27"/>
        <v>0.59179019384264542</v>
      </c>
      <c r="J644" s="13">
        <f t="shared" si="28"/>
        <v>4961.5689851767393</v>
      </c>
      <c r="K644" s="13">
        <f t="shared" si="29"/>
        <v>6371.84</v>
      </c>
    </row>
    <row r="645" spans="1:11" x14ac:dyDescent="0.25">
      <c r="A645" s="4" t="s">
        <v>687</v>
      </c>
      <c r="B645" s="4" t="s">
        <v>10</v>
      </c>
      <c r="C645" s="4" t="s">
        <v>32</v>
      </c>
      <c r="D645" s="12">
        <v>8081</v>
      </c>
      <c r="E645" s="12">
        <v>4414</v>
      </c>
      <c r="F645" s="13">
        <v>44446</v>
      </c>
      <c r="G645" s="14">
        <v>0.71</v>
      </c>
      <c r="H645" s="13">
        <v>24832</v>
      </c>
      <c r="I645" s="15">
        <f t="shared" ref="I645:I708" si="30">IF(D645&gt;0,MIN(E645/D645,1),0)</f>
        <v>0.54621952728622691</v>
      </c>
      <c r="J645" s="13">
        <f t="shared" ref="J645:J708" si="31">F645*I645</f>
        <v>24277.273109763642</v>
      </c>
      <c r="K645" s="13">
        <f t="shared" ref="K645:K708" si="32">F645*G645</f>
        <v>31556.66</v>
      </c>
    </row>
    <row r="646" spans="1:11" x14ac:dyDescent="0.25">
      <c r="A646" s="4" t="s">
        <v>688</v>
      </c>
      <c r="B646" s="4" t="s">
        <v>10</v>
      </c>
      <c r="C646" s="4" t="s">
        <v>237</v>
      </c>
      <c r="D646" s="12">
        <v>2</v>
      </c>
      <c r="E646" s="12">
        <v>1</v>
      </c>
      <c r="F646" s="13">
        <v>314122</v>
      </c>
      <c r="G646" s="14">
        <v>0.57999999999999996</v>
      </c>
      <c r="H646" s="13">
        <v>150442</v>
      </c>
      <c r="I646" s="15">
        <f t="shared" si="30"/>
        <v>0.5</v>
      </c>
      <c r="J646" s="13">
        <f t="shared" si="31"/>
        <v>157061</v>
      </c>
      <c r="K646" s="13">
        <f t="shared" si="32"/>
        <v>182190.75999999998</v>
      </c>
    </row>
    <row r="647" spans="1:11" x14ac:dyDescent="0.25">
      <c r="A647" s="4" t="s">
        <v>689</v>
      </c>
      <c r="B647" s="4" t="s">
        <v>10</v>
      </c>
      <c r="C647" s="4" t="s">
        <v>32</v>
      </c>
      <c r="D647" s="12">
        <v>3475</v>
      </c>
      <c r="E647" s="12">
        <v>2248</v>
      </c>
      <c r="F647" s="13">
        <v>33846</v>
      </c>
      <c r="G647" s="14">
        <v>0.74</v>
      </c>
      <c r="H647" s="13">
        <v>21406</v>
      </c>
      <c r="I647" s="15">
        <f t="shared" si="30"/>
        <v>0.64690647482014385</v>
      </c>
      <c r="J647" s="13">
        <f t="shared" si="31"/>
        <v>21895.196546762589</v>
      </c>
      <c r="K647" s="13">
        <f t="shared" si="32"/>
        <v>25046.04</v>
      </c>
    </row>
    <row r="648" spans="1:11" x14ac:dyDescent="0.25">
      <c r="A648" s="4" t="s">
        <v>690</v>
      </c>
      <c r="B648" s="4" t="s">
        <v>10</v>
      </c>
      <c r="C648" s="4" t="s">
        <v>32</v>
      </c>
      <c r="D648" s="12">
        <v>1126</v>
      </c>
      <c r="E648" s="12">
        <v>368</v>
      </c>
      <c r="F648" s="13">
        <v>4729</v>
      </c>
      <c r="G648" s="14">
        <v>0.44</v>
      </c>
      <c r="H648" s="13">
        <v>1498</v>
      </c>
      <c r="I648" s="15">
        <f t="shared" si="30"/>
        <v>0.32682060390763767</v>
      </c>
      <c r="J648" s="13">
        <f t="shared" si="31"/>
        <v>1545.5346358792185</v>
      </c>
      <c r="K648" s="13">
        <f t="shared" si="32"/>
        <v>2080.7600000000002</v>
      </c>
    </row>
    <row r="649" spans="1:11" x14ac:dyDescent="0.25">
      <c r="A649" s="4" t="s">
        <v>691</v>
      </c>
      <c r="B649" s="4" t="s">
        <v>10</v>
      </c>
      <c r="C649" s="4" t="s">
        <v>32</v>
      </c>
      <c r="D649" s="12">
        <v>2566</v>
      </c>
      <c r="E649" s="12">
        <v>1781</v>
      </c>
      <c r="F649" s="13">
        <v>22991</v>
      </c>
      <c r="G649" s="14">
        <v>0.84</v>
      </c>
      <c r="H649" s="13">
        <v>15108</v>
      </c>
      <c r="I649" s="15">
        <f t="shared" si="30"/>
        <v>0.69407638347622758</v>
      </c>
      <c r="J649" s="13">
        <f t="shared" si="31"/>
        <v>15957.510132501948</v>
      </c>
      <c r="K649" s="13">
        <f t="shared" si="32"/>
        <v>19312.439999999999</v>
      </c>
    </row>
    <row r="650" spans="1:11" x14ac:dyDescent="0.25">
      <c r="A650" s="4" t="s">
        <v>692</v>
      </c>
      <c r="B650" s="4" t="s">
        <v>10</v>
      </c>
      <c r="C650" s="4" t="s">
        <v>32</v>
      </c>
      <c r="D650" s="12">
        <v>2437</v>
      </c>
      <c r="E650" s="12">
        <v>932</v>
      </c>
      <c r="F650" s="13">
        <v>23883</v>
      </c>
      <c r="G650" s="14">
        <v>0.48</v>
      </c>
      <c r="H650" s="13">
        <v>8696</v>
      </c>
      <c r="I650" s="15">
        <f t="shared" si="30"/>
        <v>0.38243742306114076</v>
      </c>
      <c r="J650" s="13">
        <f t="shared" si="31"/>
        <v>9133.7529749692239</v>
      </c>
      <c r="K650" s="13">
        <f t="shared" si="32"/>
        <v>11463.84</v>
      </c>
    </row>
    <row r="651" spans="1:11" x14ac:dyDescent="0.25">
      <c r="A651" s="4" t="s">
        <v>693</v>
      </c>
      <c r="B651" s="4" t="s">
        <v>10</v>
      </c>
      <c r="C651" s="4" t="s">
        <v>32</v>
      </c>
      <c r="D651" s="12">
        <v>1248</v>
      </c>
      <c r="E651" s="12">
        <v>774</v>
      </c>
      <c r="F651" s="13">
        <v>11082</v>
      </c>
      <c r="G651" s="14">
        <v>0.81</v>
      </c>
      <c r="H651" s="13">
        <v>7125</v>
      </c>
      <c r="I651" s="15">
        <f t="shared" si="30"/>
        <v>0.62019230769230771</v>
      </c>
      <c r="J651" s="13">
        <f t="shared" si="31"/>
        <v>6872.9711538461543</v>
      </c>
      <c r="K651" s="13">
        <f t="shared" si="32"/>
        <v>8976.42</v>
      </c>
    </row>
    <row r="652" spans="1:11" x14ac:dyDescent="0.25">
      <c r="A652" s="4" t="s">
        <v>694</v>
      </c>
      <c r="B652" s="4" t="s">
        <v>10</v>
      </c>
      <c r="C652" s="4" t="s">
        <v>237</v>
      </c>
      <c r="D652" s="12">
        <v>7</v>
      </c>
      <c r="E652" s="12">
        <v>4</v>
      </c>
      <c r="F652" s="13">
        <v>100062</v>
      </c>
      <c r="G652" s="14">
        <v>0.73</v>
      </c>
      <c r="H652" s="13">
        <v>59368</v>
      </c>
      <c r="I652" s="15">
        <f t="shared" si="30"/>
        <v>0.5714285714285714</v>
      </c>
      <c r="J652" s="13">
        <f t="shared" si="31"/>
        <v>57178.28571428571</v>
      </c>
      <c r="K652" s="13">
        <f t="shared" si="32"/>
        <v>73045.259999999995</v>
      </c>
    </row>
    <row r="653" spans="1:11" x14ac:dyDescent="0.25">
      <c r="A653" s="4" t="s">
        <v>695</v>
      </c>
      <c r="B653" s="4" t="s">
        <v>10</v>
      </c>
      <c r="C653" s="4" t="s">
        <v>32</v>
      </c>
      <c r="D653" s="12">
        <v>1992</v>
      </c>
      <c r="E653" s="12">
        <v>1189</v>
      </c>
      <c r="F653" s="13">
        <v>15060</v>
      </c>
      <c r="G653" s="14">
        <v>0.74</v>
      </c>
      <c r="H653" s="13">
        <v>8858</v>
      </c>
      <c r="I653" s="15">
        <f t="shared" si="30"/>
        <v>0.5968875502008032</v>
      </c>
      <c r="J653" s="13">
        <f t="shared" si="31"/>
        <v>8989.1265060240967</v>
      </c>
      <c r="K653" s="13">
        <f t="shared" si="32"/>
        <v>11144.4</v>
      </c>
    </row>
    <row r="654" spans="1:11" x14ac:dyDescent="0.25">
      <c r="A654" s="4" t="s">
        <v>696</v>
      </c>
      <c r="B654" s="4" t="s">
        <v>10</v>
      </c>
      <c r="C654" s="4" t="s">
        <v>32</v>
      </c>
      <c r="D654" s="12">
        <v>1049</v>
      </c>
      <c r="E654" s="12">
        <v>646</v>
      </c>
      <c r="F654" s="13">
        <v>4752</v>
      </c>
      <c r="G654" s="14">
        <v>0.67</v>
      </c>
      <c r="H654" s="13">
        <v>2839</v>
      </c>
      <c r="I654" s="15">
        <f t="shared" si="30"/>
        <v>0.61582459485224028</v>
      </c>
      <c r="J654" s="13">
        <f t="shared" si="31"/>
        <v>2926.3984747378458</v>
      </c>
      <c r="K654" s="13">
        <f t="shared" si="32"/>
        <v>3183.84</v>
      </c>
    </row>
    <row r="655" spans="1:11" x14ac:dyDescent="0.25">
      <c r="A655" s="4" t="s">
        <v>697</v>
      </c>
      <c r="B655" s="4" t="s">
        <v>10</v>
      </c>
      <c r="C655" s="4" t="s">
        <v>237</v>
      </c>
      <c r="D655" s="12">
        <v>2</v>
      </c>
      <c r="E655" s="12">
        <v>1</v>
      </c>
      <c r="F655" s="13">
        <v>170838</v>
      </c>
      <c r="G655" s="14">
        <v>0.67</v>
      </c>
      <c r="H655" s="13">
        <v>84465</v>
      </c>
      <c r="I655" s="15">
        <f t="shared" si="30"/>
        <v>0.5</v>
      </c>
      <c r="J655" s="13">
        <f t="shared" si="31"/>
        <v>85419</v>
      </c>
      <c r="K655" s="13">
        <f t="shared" si="32"/>
        <v>114461.46</v>
      </c>
    </row>
    <row r="656" spans="1:11" x14ac:dyDescent="0.25">
      <c r="A656" s="4" t="s">
        <v>698</v>
      </c>
      <c r="B656" s="4" t="s">
        <v>10</v>
      </c>
      <c r="C656" s="4" t="s">
        <v>237</v>
      </c>
      <c r="D656" s="12">
        <v>2</v>
      </c>
      <c r="E656" s="12">
        <v>1</v>
      </c>
      <c r="F656" s="13">
        <v>269300</v>
      </c>
      <c r="G656" s="14">
        <v>0.68</v>
      </c>
      <c r="H656" s="13">
        <v>142492</v>
      </c>
      <c r="I656" s="15">
        <f t="shared" si="30"/>
        <v>0.5</v>
      </c>
      <c r="J656" s="13">
        <f t="shared" si="31"/>
        <v>134650</v>
      </c>
      <c r="K656" s="13">
        <f t="shared" si="32"/>
        <v>183124</v>
      </c>
    </row>
    <row r="657" spans="1:11" x14ac:dyDescent="0.25">
      <c r="A657" s="4" t="s">
        <v>699</v>
      </c>
      <c r="B657" s="4" t="s">
        <v>10</v>
      </c>
      <c r="C657" s="4" t="s">
        <v>237</v>
      </c>
      <c r="D657" s="12">
        <v>4</v>
      </c>
      <c r="E657" s="12">
        <v>2</v>
      </c>
      <c r="F657" s="13">
        <v>32380</v>
      </c>
      <c r="G657" s="14">
        <v>0.63</v>
      </c>
      <c r="H657" s="13">
        <v>18160</v>
      </c>
      <c r="I657" s="15">
        <f t="shared" si="30"/>
        <v>0.5</v>
      </c>
      <c r="J657" s="13">
        <f t="shared" si="31"/>
        <v>16190</v>
      </c>
      <c r="K657" s="13">
        <f t="shared" si="32"/>
        <v>20399.400000000001</v>
      </c>
    </row>
    <row r="658" spans="1:11" x14ac:dyDescent="0.25">
      <c r="A658" s="4" t="s">
        <v>700</v>
      </c>
      <c r="B658" s="4" t="s">
        <v>10</v>
      </c>
      <c r="C658" s="4" t="s">
        <v>32</v>
      </c>
      <c r="D658" s="12">
        <v>3914</v>
      </c>
      <c r="E658" s="12">
        <v>2273</v>
      </c>
      <c r="F658" s="13">
        <v>40392</v>
      </c>
      <c r="G658" s="14">
        <v>0.76</v>
      </c>
      <c r="H658" s="13">
        <v>26026</v>
      </c>
      <c r="I658" s="15">
        <f t="shared" si="30"/>
        <v>0.58073582013285641</v>
      </c>
      <c r="J658" s="13">
        <f t="shared" si="31"/>
        <v>23457.081246806338</v>
      </c>
      <c r="K658" s="13">
        <f t="shared" si="32"/>
        <v>30697.920000000002</v>
      </c>
    </row>
    <row r="659" spans="1:11" x14ac:dyDescent="0.25">
      <c r="A659" s="4" t="s">
        <v>701</v>
      </c>
      <c r="B659" s="4" t="s">
        <v>10</v>
      </c>
      <c r="C659" s="4" t="s">
        <v>237</v>
      </c>
      <c r="D659" s="12">
        <v>2</v>
      </c>
      <c r="E659" s="12">
        <v>1</v>
      </c>
      <c r="F659" s="13">
        <v>195060</v>
      </c>
      <c r="G659" s="14">
        <v>0.69</v>
      </c>
      <c r="H659" s="13">
        <v>93816</v>
      </c>
      <c r="I659" s="15">
        <f t="shared" si="30"/>
        <v>0.5</v>
      </c>
      <c r="J659" s="13">
        <f t="shared" si="31"/>
        <v>97530</v>
      </c>
      <c r="K659" s="13">
        <f t="shared" si="32"/>
        <v>134591.4</v>
      </c>
    </row>
    <row r="660" spans="1:11" x14ac:dyDescent="0.25">
      <c r="A660" s="4" t="s">
        <v>702</v>
      </c>
      <c r="B660" s="4" t="s">
        <v>10</v>
      </c>
      <c r="C660" s="4" t="s">
        <v>32</v>
      </c>
      <c r="D660" s="12">
        <v>10295</v>
      </c>
      <c r="E660" s="12">
        <v>7667</v>
      </c>
      <c r="F660" s="13">
        <v>60946</v>
      </c>
      <c r="G660" s="14">
        <v>0.79</v>
      </c>
      <c r="H660" s="13">
        <v>43536</v>
      </c>
      <c r="I660" s="15">
        <f t="shared" si="30"/>
        <v>0.74473045167557061</v>
      </c>
      <c r="J660" s="13">
        <f t="shared" si="31"/>
        <v>45388.342107819328</v>
      </c>
      <c r="K660" s="13">
        <f t="shared" si="32"/>
        <v>48147.340000000004</v>
      </c>
    </row>
    <row r="661" spans="1:11" x14ac:dyDescent="0.25">
      <c r="A661" s="4" t="s">
        <v>703</v>
      </c>
      <c r="B661" s="4" t="s">
        <v>10</v>
      </c>
      <c r="C661" s="4" t="s">
        <v>237</v>
      </c>
      <c r="D661" s="12">
        <v>290</v>
      </c>
      <c r="E661" s="12">
        <v>183</v>
      </c>
      <c r="F661" s="13">
        <v>36244</v>
      </c>
      <c r="G661" s="14">
        <v>0.73</v>
      </c>
      <c r="H661" s="13">
        <v>25855</v>
      </c>
      <c r="I661" s="15">
        <f t="shared" si="30"/>
        <v>0.63103448275862073</v>
      </c>
      <c r="J661" s="13">
        <f t="shared" si="31"/>
        <v>22871.213793103449</v>
      </c>
      <c r="K661" s="13">
        <f t="shared" si="32"/>
        <v>26458.12</v>
      </c>
    </row>
    <row r="662" spans="1:11" x14ac:dyDescent="0.25">
      <c r="A662" s="4" t="s">
        <v>704</v>
      </c>
      <c r="B662" s="4" t="s">
        <v>10</v>
      </c>
      <c r="C662" s="4" t="s">
        <v>237</v>
      </c>
      <c r="D662" s="12">
        <v>2</v>
      </c>
      <c r="E662" s="12">
        <v>1</v>
      </c>
      <c r="F662" s="13">
        <v>194694</v>
      </c>
      <c r="G662" s="14">
        <v>0.66</v>
      </c>
      <c r="H662" s="13">
        <v>102838</v>
      </c>
      <c r="I662" s="15">
        <f t="shared" si="30"/>
        <v>0.5</v>
      </c>
      <c r="J662" s="13">
        <f t="shared" si="31"/>
        <v>97347</v>
      </c>
      <c r="K662" s="13">
        <f t="shared" si="32"/>
        <v>128498.04000000001</v>
      </c>
    </row>
    <row r="663" spans="1:11" x14ac:dyDescent="0.25">
      <c r="A663" s="4" t="s">
        <v>705</v>
      </c>
      <c r="B663" s="4" t="s">
        <v>10</v>
      </c>
      <c r="C663" s="4" t="s">
        <v>32</v>
      </c>
      <c r="D663" s="12">
        <v>6438</v>
      </c>
      <c r="E663" s="12">
        <v>3034</v>
      </c>
      <c r="F663" s="13">
        <v>25816</v>
      </c>
      <c r="G663" s="14">
        <v>0.56999999999999995</v>
      </c>
      <c r="H663" s="13">
        <v>12280</v>
      </c>
      <c r="I663" s="15">
        <f t="shared" si="30"/>
        <v>0.47126436781609193</v>
      </c>
      <c r="J663" s="13">
        <f t="shared" si="31"/>
        <v>12166.160919540229</v>
      </c>
      <c r="K663" s="13">
        <f t="shared" si="32"/>
        <v>14715.119999999999</v>
      </c>
    </row>
    <row r="664" spans="1:11" x14ac:dyDescent="0.25">
      <c r="A664" s="4" t="s">
        <v>706</v>
      </c>
      <c r="B664" s="4" t="s">
        <v>10</v>
      </c>
      <c r="C664" s="4" t="s">
        <v>32</v>
      </c>
      <c r="D664" s="12">
        <v>10733</v>
      </c>
      <c r="E664" s="12">
        <v>8308</v>
      </c>
      <c r="F664" s="13">
        <v>88869</v>
      </c>
      <c r="G664" s="14">
        <v>0.85</v>
      </c>
      <c r="H664" s="13">
        <v>70946</v>
      </c>
      <c r="I664" s="15">
        <f t="shared" si="30"/>
        <v>0.77406130625174696</v>
      </c>
      <c r="J664" s="13">
        <f t="shared" si="31"/>
        <v>68790.054225286498</v>
      </c>
      <c r="K664" s="13">
        <f t="shared" si="32"/>
        <v>75538.649999999994</v>
      </c>
    </row>
    <row r="665" spans="1:11" x14ac:dyDescent="0.25">
      <c r="A665" s="4" t="s">
        <v>707</v>
      </c>
      <c r="B665" s="4" t="s">
        <v>10</v>
      </c>
      <c r="C665" s="4" t="s">
        <v>32</v>
      </c>
      <c r="D665" s="12">
        <v>3450</v>
      </c>
      <c r="E665" s="12">
        <v>2194</v>
      </c>
      <c r="F665" s="13">
        <v>20458</v>
      </c>
      <c r="G665" s="14">
        <v>0.8</v>
      </c>
      <c r="H665" s="13">
        <v>14627</v>
      </c>
      <c r="I665" s="15">
        <f t="shared" si="30"/>
        <v>0.63594202898550722</v>
      </c>
      <c r="J665" s="13">
        <f t="shared" si="31"/>
        <v>13010.102028985506</v>
      </c>
      <c r="K665" s="13">
        <f t="shared" si="32"/>
        <v>16366.400000000001</v>
      </c>
    </row>
    <row r="666" spans="1:11" x14ac:dyDescent="0.25">
      <c r="A666" s="4" t="s">
        <v>708</v>
      </c>
      <c r="B666" s="4" t="s">
        <v>10</v>
      </c>
      <c r="C666" s="4" t="s">
        <v>32</v>
      </c>
      <c r="D666" s="12">
        <v>4397</v>
      </c>
      <c r="E666" s="12">
        <v>2777</v>
      </c>
      <c r="F666" s="13">
        <v>32494</v>
      </c>
      <c r="G666" s="14">
        <v>0.82</v>
      </c>
      <c r="H666" s="13">
        <v>19832</v>
      </c>
      <c r="I666" s="15">
        <f t="shared" si="30"/>
        <v>0.63156697748464863</v>
      </c>
      <c r="J666" s="13">
        <f t="shared" si="31"/>
        <v>20522.137366386174</v>
      </c>
      <c r="K666" s="13">
        <f t="shared" si="32"/>
        <v>26645.079999999998</v>
      </c>
    </row>
    <row r="667" spans="1:11" x14ac:dyDescent="0.25">
      <c r="A667" s="4" t="s">
        <v>709</v>
      </c>
      <c r="B667" s="4" t="s">
        <v>10</v>
      </c>
      <c r="C667" s="4" t="s">
        <v>32</v>
      </c>
      <c r="D667" s="12">
        <v>11200</v>
      </c>
      <c r="E667" s="12">
        <v>5749</v>
      </c>
      <c r="F667" s="13">
        <v>64624</v>
      </c>
      <c r="G667" s="14">
        <v>0.6</v>
      </c>
      <c r="H667" s="13">
        <v>33331</v>
      </c>
      <c r="I667" s="15">
        <f t="shared" si="30"/>
        <v>0.51330357142857141</v>
      </c>
      <c r="J667" s="13">
        <f t="shared" si="31"/>
        <v>33171.729999999996</v>
      </c>
      <c r="K667" s="13">
        <f t="shared" si="32"/>
        <v>38774.400000000001</v>
      </c>
    </row>
    <row r="668" spans="1:11" x14ac:dyDescent="0.25">
      <c r="A668" s="4" t="s">
        <v>710</v>
      </c>
      <c r="B668" s="4" t="s">
        <v>10</v>
      </c>
      <c r="C668" s="4" t="s">
        <v>237</v>
      </c>
      <c r="D668" s="12">
        <v>267</v>
      </c>
      <c r="E668" s="12">
        <v>120</v>
      </c>
      <c r="F668" s="13">
        <v>20479</v>
      </c>
      <c r="G668" s="14">
        <v>0.59</v>
      </c>
      <c r="H668" s="13">
        <v>9833</v>
      </c>
      <c r="I668" s="15">
        <f t="shared" si="30"/>
        <v>0.449438202247191</v>
      </c>
      <c r="J668" s="13">
        <f t="shared" si="31"/>
        <v>9204.0449438202249</v>
      </c>
      <c r="K668" s="13">
        <f t="shared" si="32"/>
        <v>12082.609999999999</v>
      </c>
    </row>
    <row r="669" spans="1:11" x14ac:dyDescent="0.25">
      <c r="A669" s="4" t="s">
        <v>711</v>
      </c>
      <c r="B669" s="4" t="s">
        <v>10</v>
      </c>
      <c r="C669" s="4" t="s">
        <v>32</v>
      </c>
      <c r="D669" s="12">
        <v>4951</v>
      </c>
      <c r="E669" s="12">
        <v>3839</v>
      </c>
      <c r="F669" s="13">
        <v>58273</v>
      </c>
      <c r="G669" s="14">
        <v>0.96</v>
      </c>
      <c r="H669" s="13">
        <v>46785</v>
      </c>
      <c r="I669" s="15">
        <f t="shared" si="30"/>
        <v>0.77539890931125022</v>
      </c>
      <c r="J669" s="13">
        <f t="shared" si="31"/>
        <v>45184.820642294486</v>
      </c>
      <c r="K669" s="13">
        <f t="shared" si="32"/>
        <v>55942.079999999994</v>
      </c>
    </row>
    <row r="670" spans="1:11" x14ac:dyDescent="0.25">
      <c r="A670" s="4" t="s">
        <v>712</v>
      </c>
      <c r="B670" s="4" t="s">
        <v>10</v>
      </c>
      <c r="C670" s="4" t="s">
        <v>32</v>
      </c>
      <c r="D670" s="12">
        <v>2802</v>
      </c>
      <c r="E670" s="12">
        <v>1507</v>
      </c>
      <c r="F670" s="13">
        <v>25050</v>
      </c>
      <c r="G670" s="14">
        <v>0.64</v>
      </c>
      <c r="H670" s="13">
        <v>14211</v>
      </c>
      <c r="I670" s="15">
        <f t="shared" si="30"/>
        <v>0.53783012134189867</v>
      </c>
      <c r="J670" s="13">
        <f t="shared" si="31"/>
        <v>13472.644539614561</v>
      </c>
      <c r="K670" s="13">
        <f t="shared" si="32"/>
        <v>16032</v>
      </c>
    </row>
    <row r="671" spans="1:11" x14ac:dyDescent="0.25">
      <c r="A671" s="4" t="s">
        <v>713</v>
      </c>
      <c r="B671" s="4" t="s">
        <v>10</v>
      </c>
      <c r="C671" s="4" t="s">
        <v>32</v>
      </c>
      <c r="D671" s="12">
        <v>4872</v>
      </c>
      <c r="E671" s="12">
        <v>2191</v>
      </c>
      <c r="F671" s="13">
        <v>32935</v>
      </c>
      <c r="G671" s="14">
        <v>0.51</v>
      </c>
      <c r="H671" s="13">
        <v>14886</v>
      </c>
      <c r="I671" s="15">
        <f t="shared" si="30"/>
        <v>0.44971264367816094</v>
      </c>
      <c r="J671" s="13">
        <f t="shared" si="31"/>
        <v>14811.285919540231</v>
      </c>
      <c r="K671" s="13">
        <f t="shared" si="32"/>
        <v>16796.849999999999</v>
      </c>
    </row>
    <row r="672" spans="1:11" x14ac:dyDescent="0.25">
      <c r="A672" s="4" t="s">
        <v>714</v>
      </c>
      <c r="B672" s="4" t="s">
        <v>10</v>
      </c>
      <c r="C672" s="4" t="s">
        <v>32</v>
      </c>
      <c r="D672" s="12">
        <v>2344</v>
      </c>
      <c r="E672" s="12">
        <v>1342</v>
      </c>
      <c r="F672" s="13">
        <v>13408</v>
      </c>
      <c r="G672" s="14">
        <v>0.63</v>
      </c>
      <c r="H672" s="13">
        <v>7384</v>
      </c>
      <c r="I672" s="15">
        <f t="shared" si="30"/>
        <v>0.5725255972696246</v>
      </c>
      <c r="J672" s="13">
        <f t="shared" si="31"/>
        <v>7676.4232081911268</v>
      </c>
      <c r="K672" s="13">
        <f t="shared" si="32"/>
        <v>8447.0400000000009</v>
      </c>
    </row>
    <row r="673" spans="1:11" x14ac:dyDescent="0.25">
      <c r="A673" s="4" t="s">
        <v>715</v>
      </c>
      <c r="B673" s="4" t="s">
        <v>10</v>
      </c>
      <c r="C673" s="4" t="s">
        <v>237</v>
      </c>
      <c r="D673" s="12">
        <v>190</v>
      </c>
      <c r="E673" s="12">
        <v>94</v>
      </c>
      <c r="F673" s="13">
        <v>25414</v>
      </c>
      <c r="G673" s="14">
        <v>0.61</v>
      </c>
      <c r="H673" s="13">
        <v>12780</v>
      </c>
      <c r="I673" s="15">
        <f t="shared" si="30"/>
        <v>0.49473684210526314</v>
      </c>
      <c r="J673" s="13">
        <f t="shared" si="31"/>
        <v>12573.242105263158</v>
      </c>
      <c r="K673" s="13">
        <f t="shared" si="32"/>
        <v>15502.539999999999</v>
      </c>
    </row>
    <row r="674" spans="1:11" x14ac:dyDescent="0.25">
      <c r="A674" s="4" t="s">
        <v>716</v>
      </c>
      <c r="B674" s="4" t="s">
        <v>10</v>
      </c>
      <c r="C674" s="4" t="s">
        <v>32</v>
      </c>
      <c r="D674" s="12">
        <v>2102</v>
      </c>
      <c r="E674" s="12">
        <v>665</v>
      </c>
      <c r="F674" s="13">
        <v>13789</v>
      </c>
      <c r="G674" s="14">
        <v>0.41</v>
      </c>
      <c r="H674" s="13">
        <v>4654</v>
      </c>
      <c r="I674" s="15">
        <f t="shared" si="30"/>
        <v>0.31636536631779255</v>
      </c>
      <c r="J674" s="13">
        <f t="shared" si="31"/>
        <v>4362.3620361560415</v>
      </c>
      <c r="K674" s="13">
        <f t="shared" si="32"/>
        <v>5653.49</v>
      </c>
    </row>
    <row r="675" spans="1:11" x14ac:dyDescent="0.25">
      <c r="A675" s="4" t="s">
        <v>717</v>
      </c>
      <c r="B675" s="4" t="s">
        <v>10</v>
      </c>
      <c r="C675" s="4" t="s">
        <v>32</v>
      </c>
      <c r="D675" s="12">
        <v>9957</v>
      </c>
      <c r="E675" s="12">
        <v>7928</v>
      </c>
      <c r="F675" s="13">
        <v>38036</v>
      </c>
      <c r="G675" s="14">
        <v>0.87</v>
      </c>
      <c r="H675" s="13">
        <v>32147</v>
      </c>
      <c r="I675" s="15">
        <f t="shared" si="30"/>
        <v>0.79622376217736268</v>
      </c>
      <c r="J675" s="13">
        <f t="shared" si="31"/>
        <v>30285.167018178166</v>
      </c>
      <c r="K675" s="13">
        <f t="shared" si="32"/>
        <v>33091.32</v>
      </c>
    </row>
    <row r="676" spans="1:11" x14ac:dyDescent="0.25">
      <c r="A676" s="4" t="s">
        <v>718</v>
      </c>
      <c r="B676" s="4" t="s">
        <v>10</v>
      </c>
      <c r="C676" s="4" t="s">
        <v>32</v>
      </c>
      <c r="D676" s="12">
        <v>2999</v>
      </c>
      <c r="E676" s="12">
        <v>2234</v>
      </c>
      <c r="F676" s="13">
        <v>21173</v>
      </c>
      <c r="G676" s="14">
        <v>0.85</v>
      </c>
      <c r="H676" s="13">
        <v>15298</v>
      </c>
      <c r="I676" s="15">
        <f t="shared" si="30"/>
        <v>0.74491497165721909</v>
      </c>
      <c r="J676" s="13">
        <f t="shared" si="31"/>
        <v>15772.0846948983</v>
      </c>
      <c r="K676" s="13">
        <f t="shared" si="32"/>
        <v>17997.05</v>
      </c>
    </row>
    <row r="677" spans="1:11" x14ac:dyDescent="0.25">
      <c r="A677" s="4" t="s">
        <v>719</v>
      </c>
      <c r="B677" s="4" t="s">
        <v>10</v>
      </c>
      <c r="C677" s="4" t="s">
        <v>32</v>
      </c>
      <c r="D677" s="12">
        <v>5720</v>
      </c>
      <c r="E677" s="12">
        <v>3255</v>
      </c>
      <c r="F677" s="13">
        <v>35064</v>
      </c>
      <c r="G677" s="14">
        <v>0.65</v>
      </c>
      <c r="H677" s="13">
        <v>19697</v>
      </c>
      <c r="I677" s="15">
        <f t="shared" si="30"/>
        <v>0.56905594405594406</v>
      </c>
      <c r="J677" s="13">
        <f t="shared" si="31"/>
        <v>19953.377622377622</v>
      </c>
      <c r="K677" s="13">
        <f t="shared" si="32"/>
        <v>22791.600000000002</v>
      </c>
    </row>
    <row r="678" spans="1:11" x14ac:dyDescent="0.25">
      <c r="A678" s="4" t="s">
        <v>720</v>
      </c>
      <c r="B678" s="4" t="s">
        <v>10</v>
      </c>
      <c r="C678" s="4" t="s">
        <v>237</v>
      </c>
      <c r="D678" s="12">
        <v>257</v>
      </c>
      <c r="E678" s="12">
        <v>105</v>
      </c>
      <c r="F678" s="13">
        <v>18509</v>
      </c>
      <c r="G678" s="14">
        <v>0.55000000000000004</v>
      </c>
      <c r="H678" s="13">
        <v>8016</v>
      </c>
      <c r="I678" s="15">
        <f t="shared" si="30"/>
        <v>0.40856031128404668</v>
      </c>
      <c r="J678" s="13">
        <f t="shared" si="31"/>
        <v>7562.0428015564203</v>
      </c>
      <c r="K678" s="13">
        <f t="shared" si="32"/>
        <v>10179.950000000001</v>
      </c>
    </row>
    <row r="679" spans="1:11" x14ac:dyDescent="0.25">
      <c r="A679" s="4" t="s">
        <v>721</v>
      </c>
      <c r="B679" s="4" t="s">
        <v>10</v>
      </c>
      <c r="C679" s="4" t="s">
        <v>237</v>
      </c>
      <c r="D679" s="12">
        <v>108</v>
      </c>
      <c r="E679" s="12">
        <v>53</v>
      </c>
      <c r="F679" s="13">
        <v>6613</v>
      </c>
      <c r="G679" s="14">
        <v>0.67</v>
      </c>
      <c r="H679" s="13">
        <v>3107</v>
      </c>
      <c r="I679" s="15">
        <f t="shared" si="30"/>
        <v>0.49074074074074076</v>
      </c>
      <c r="J679" s="13">
        <f t="shared" si="31"/>
        <v>3245.2685185185187</v>
      </c>
      <c r="K679" s="13">
        <f t="shared" si="32"/>
        <v>4430.71</v>
      </c>
    </row>
    <row r="680" spans="1:11" x14ac:dyDescent="0.25">
      <c r="A680" s="4" t="s">
        <v>722</v>
      </c>
      <c r="B680" s="4" t="s">
        <v>10</v>
      </c>
      <c r="C680" s="4" t="s">
        <v>237</v>
      </c>
      <c r="D680" s="12">
        <v>1</v>
      </c>
      <c r="E680" s="12">
        <v>0</v>
      </c>
      <c r="F680" s="13">
        <v>168132</v>
      </c>
      <c r="G680" s="14">
        <v>0.09</v>
      </c>
      <c r="H680" s="13">
        <v>0</v>
      </c>
      <c r="I680" s="15">
        <f t="shared" si="30"/>
        <v>0</v>
      </c>
      <c r="J680" s="13">
        <f t="shared" si="31"/>
        <v>0</v>
      </c>
      <c r="K680" s="13">
        <f t="shared" si="32"/>
        <v>15131.88</v>
      </c>
    </row>
    <row r="681" spans="1:11" x14ac:dyDescent="0.25">
      <c r="A681" s="4" t="s">
        <v>723</v>
      </c>
      <c r="B681" s="4" t="s">
        <v>10</v>
      </c>
      <c r="C681" s="4" t="s">
        <v>237</v>
      </c>
      <c r="D681" s="12">
        <v>118</v>
      </c>
      <c r="E681" s="12">
        <v>44</v>
      </c>
      <c r="F681" s="13">
        <v>10240</v>
      </c>
      <c r="G681" s="14">
        <v>0.44</v>
      </c>
      <c r="H681" s="13">
        <v>3604</v>
      </c>
      <c r="I681" s="15">
        <f t="shared" si="30"/>
        <v>0.3728813559322034</v>
      </c>
      <c r="J681" s="13">
        <f t="shared" si="31"/>
        <v>3818.3050847457625</v>
      </c>
      <c r="K681" s="13">
        <f t="shared" si="32"/>
        <v>4505.6000000000004</v>
      </c>
    </row>
    <row r="682" spans="1:11" x14ac:dyDescent="0.25">
      <c r="A682" s="4" t="s">
        <v>724</v>
      </c>
      <c r="B682" s="4" t="s">
        <v>10</v>
      </c>
      <c r="C682" s="4" t="s">
        <v>237</v>
      </c>
      <c r="D682" s="12">
        <v>1</v>
      </c>
      <c r="E682" s="12">
        <v>0</v>
      </c>
      <c r="F682" s="13">
        <v>92271</v>
      </c>
      <c r="G682" s="14">
        <v>0.17</v>
      </c>
      <c r="H682" s="13">
        <v>0</v>
      </c>
      <c r="I682" s="15">
        <f t="shared" si="30"/>
        <v>0</v>
      </c>
      <c r="J682" s="13">
        <f t="shared" si="31"/>
        <v>0</v>
      </c>
      <c r="K682" s="13">
        <f t="shared" si="32"/>
        <v>15686.070000000002</v>
      </c>
    </row>
    <row r="683" spans="1:11" x14ac:dyDescent="0.25">
      <c r="A683" s="4" t="s">
        <v>725</v>
      </c>
      <c r="B683" s="4" t="s">
        <v>10</v>
      </c>
      <c r="C683" s="4" t="s">
        <v>32</v>
      </c>
      <c r="D683" s="12">
        <v>7914</v>
      </c>
      <c r="E683" s="12">
        <v>5864</v>
      </c>
      <c r="F683" s="13">
        <v>56585</v>
      </c>
      <c r="G683" s="14">
        <v>0.93</v>
      </c>
      <c r="H683" s="13">
        <v>46987</v>
      </c>
      <c r="I683" s="15">
        <f t="shared" si="30"/>
        <v>0.74096537781147331</v>
      </c>
      <c r="J683" s="13">
        <f t="shared" si="31"/>
        <v>41927.525903462214</v>
      </c>
      <c r="K683" s="13">
        <f t="shared" si="32"/>
        <v>52624.05</v>
      </c>
    </row>
    <row r="684" spans="1:11" x14ac:dyDescent="0.25">
      <c r="A684" s="4" t="s">
        <v>726</v>
      </c>
      <c r="B684" s="4" t="s">
        <v>10</v>
      </c>
      <c r="C684" s="4" t="s">
        <v>237</v>
      </c>
      <c r="D684" s="12">
        <v>7</v>
      </c>
      <c r="E684" s="12">
        <v>3</v>
      </c>
      <c r="F684" s="13">
        <v>77630</v>
      </c>
      <c r="G684" s="14">
        <v>0.52</v>
      </c>
      <c r="H684" s="13">
        <v>34645</v>
      </c>
      <c r="I684" s="15">
        <f t="shared" si="30"/>
        <v>0.42857142857142855</v>
      </c>
      <c r="J684" s="13">
        <f t="shared" si="31"/>
        <v>33270</v>
      </c>
      <c r="K684" s="13">
        <f t="shared" si="32"/>
        <v>40367.599999999999</v>
      </c>
    </row>
    <row r="685" spans="1:11" x14ac:dyDescent="0.25">
      <c r="A685" s="4" t="s">
        <v>727</v>
      </c>
      <c r="B685" s="4" t="s">
        <v>10</v>
      </c>
      <c r="C685" s="4" t="s">
        <v>237</v>
      </c>
      <c r="D685" s="12">
        <v>87</v>
      </c>
      <c r="E685" s="12">
        <v>64</v>
      </c>
      <c r="F685" s="13">
        <v>6625</v>
      </c>
      <c r="G685" s="14">
        <v>0.9</v>
      </c>
      <c r="H685" s="13">
        <v>5525</v>
      </c>
      <c r="I685" s="15">
        <f t="shared" si="30"/>
        <v>0.73563218390804597</v>
      </c>
      <c r="J685" s="13">
        <f t="shared" si="31"/>
        <v>4873.5632183908046</v>
      </c>
      <c r="K685" s="13">
        <f t="shared" si="32"/>
        <v>5962.5</v>
      </c>
    </row>
    <row r="686" spans="1:11" x14ac:dyDescent="0.25">
      <c r="A686" s="4" t="s">
        <v>728</v>
      </c>
      <c r="B686" s="4" t="s">
        <v>10</v>
      </c>
      <c r="C686" s="4" t="s">
        <v>237</v>
      </c>
      <c r="D686" s="12">
        <v>134</v>
      </c>
      <c r="E686" s="12">
        <v>81</v>
      </c>
      <c r="F686" s="13">
        <v>13167</v>
      </c>
      <c r="G686" s="14">
        <v>0.78</v>
      </c>
      <c r="H686" s="13">
        <v>7565</v>
      </c>
      <c r="I686" s="15">
        <f t="shared" si="30"/>
        <v>0.60447761194029848</v>
      </c>
      <c r="J686" s="13">
        <f t="shared" si="31"/>
        <v>7959.1567164179096</v>
      </c>
      <c r="K686" s="13">
        <f t="shared" si="32"/>
        <v>10270.26</v>
      </c>
    </row>
    <row r="687" spans="1:11" x14ac:dyDescent="0.25">
      <c r="A687" s="4" t="s">
        <v>729</v>
      </c>
      <c r="B687" s="4" t="s">
        <v>10</v>
      </c>
      <c r="C687" s="4" t="s">
        <v>237</v>
      </c>
      <c r="D687" s="12">
        <v>6</v>
      </c>
      <c r="E687" s="12">
        <v>5</v>
      </c>
      <c r="F687" s="13">
        <v>34147</v>
      </c>
      <c r="G687" s="14">
        <v>0.94</v>
      </c>
      <c r="H687" s="13">
        <v>30901</v>
      </c>
      <c r="I687" s="15">
        <f t="shared" si="30"/>
        <v>0.83333333333333337</v>
      </c>
      <c r="J687" s="13">
        <f t="shared" si="31"/>
        <v>28455.833333333336</v>
      </c>
      <c r="K687" s="13">
        <f t="shared" si="32"/>
        <v>32098.179999999997</v>
      </c>
    </row>
    <row r="688" spans="1:11" x14ac:dyDescent="0.25">
      <c r="A688" s="4" t="s">
        <v>730</v>
      </c>
      <c r="B688" s="4" t="s">
        <v>10</v>
      </c>
      <c r="C688" s="4" t="s">
        <v>32</v>
      </c>
      <c r="D688" s="12">
        <v>12772</v>
      </c>
      <c r="E688" s="12">
        <v>3889</v>
      </c>
      <c r="F688" s="13">
        <v>209972</v>
      </c>
      <c r="G688" s="14">
        <v>0.48</v>
      </c>
      <c r="H688" s="13">
        <v>69683</v>
      </c>
      <c r="I688" s="15">
        <f t="shared" si="30"/>
        <v>0.30449420607579081</v>
      </c>
      <c r="J688" s="13">
        <f t="shared" si="31"/>
        <v>63935.257438145949</v>
      </c>
      <c r="K688" s="13">
        <f t="shared" si="32"/>
        <v>100786.56</v>
      </c>
    </row>
    <row r="689" spans="1:11" x14ac:dyDescent="0.25">
      <c r="A689" s="4" t="s">
        <v>731</v>
      </c>
      <c r="B689" s="4" t="s">
        <v>10</v>
      </c>
      <c r="C689" s="4" t="s">
        <v>32</v>
      </c>
      <c r="D689" s="12">
        <v>5311</v>
      </c>
      <c r="E689" s="12">
        <v>1869</v>
      </c>
      <c r="F689" s="13">
        <v>21722</v>
      </c>
      <c r="G689" s="14">
        <v>0.43</v>
      </c>
      <c r="H689" s="13">
        <v>7819</v>
      </c>
      <c r="I689" s="15">
        <f t="shared" si="30"/>
        <v>0.35191112784786294</v>
      </c>
      <c r="J689" s="13">
        <f t="shared" si="31"/>
        <v>7644.2135191112784</v>
      </c>
      <c r="K689" s="13">
        <f t="shared" si="32"/>
        <v>9340.4599999999991</v>
      </c>
    </row>
    <row r="690" spans="1:11" x14ac:dyDescent="0.25">
      <c r="A690" s="4" t="s">
        <v>732</v>
      </c>
      <c r="B690" s="4" t="s">
        <v>10</v>
      </c>
      <c r="C690" s="4" t="s">
        <v>237</v>
      </c>
      <c r="D690" s="12">
        <v>1</v>
      </c>
      <c r="E690" s="12">
        <v>1</v>
      </c>
      <c r="F690" s="13">
        <v>154978</v>
      </c>
      <c r="G690" s="14">
        <v>1</v>
      </c>
      <c r="H690" s="13">
        <v>148025</v>
      </c>
      <c r="I690" s="15">
        <f t="shared" si="30"/>
        <v>1</v>
      </c>
      <c r="J690" s="13">
        <f t="shared" si="31"/>
        <v>154978</v>
      </c>
      <c r="K690" s="13">
        <f t="shared" si="32"/>
        <v>154978</v>
      </c>
    </row>
    <row r="691" spans="1:11" x14ac:dyDescent="0.25">
      <c r="A691" s="4" t="s">
        <v>733</v>
      </c>
      <c r="B691" s="4" t="s">
        <v>8</v>
      </c>
      <c r="C691" s="4" t="s">
        <v>237</v>
      </c>
      <c r="D691" s="12">
        <v>6</v>
      </c>
      <c r="E691" s="12">
        <v>1</v>
      </c>
      <c r="F691" s="13">
        <v>40298</v>
      </c>
      <c r="G691" s="14">
        <v>0.34</v>
      </c>
      <c r="H691" s="13">
        <v>6726</v>
      </c>
      <c r="I691" s="15">
        <f t="shared" si="30"/>
        <v>0.16666666666666666</v>
      </c>
      <c r="J691" s="13">
        <f t="shared" si="31"/>
        <v>6716.333333333333</v>
      </c>
      <c r="K691" s="13">
        <f t="shared" si="32"/>
        <v>13701.320000000002</v>
      </c>
    </row>
    <row r="692" spans="1:11" x14ac:dyDescent="0.25">
      <c r="A692" s="4" t="s">
        <v>734</v>
      </c>
      <c r="B692" s="4" t="s">
        <v>8</v>
      </c>
      <c r="C692" s="4" t="s">
        <v>237</v>
      </c>
      <c r="D692" s="12">
        <v>4</v>
      </c>
      <c r="E692" s="12">
        <v>1</v>
      </c>
      <c r="F692" s="13">
        <v>93938</v>
      </c>
      <c r="G692" s="14">
        <v>0.41</v>
      </c>
      <c r="H692" s="13">
        <v>22682</v>
      </c>
      <c r="I692" s="15">
        <f t="shared" si="30"/>
        <v>0.25</v>
      </c>
      <c r="J692" s="13">
        <f t="shared" si="31"/>
        <v>23484.5</v>
      </c>
      <c r="K692" s="13">
        <f t="shared" si="32"/>
        <v>38514.579999999994</v>
      </c>
    </row>
    <row r="693" spans="1:11" x14ac:dyDescent="0.25">
      <c r="A693" s="4" t="s">
        <v>735</v>
      </c>
      <c r="B693" s="4" t="s">
        <v>8</v>
      </c>
      <c r="C693" s="4" t="s">
        <v>237</v>
      </c>
      <c r="D693" s="12">
        <v>8</v>
      </c>
      <c r="E693" s="12">
        <v>2</v>
      </c>
      <c r="F693" s="13">
        <v>25023</v>
      </c>
      <c r="G693" s="14">
        <v>0.38</v>
      </c>
      <c r="H693" s="13">
        <v>6269</v>
      </c>
      <c r="I693" s="15">
        <f t="shared" si="30"/>
        <v>0.25</v>
      </c>
      <c r="J693" s="13">
        <f t="shared" si="31"/>
        <v>6255.75</v>
      </c>
      <c r="K693" s="13">
        <f t="shared" si="32"/>
        <v>9508.74</v>
      </c>
    </row>
    <row r="694" spans="1:11" x14ac:dyDescent="0.25">
      <c r="A694" s="4" t="s">
        <v>736</v>
      </c>
      <c r="B694" s="4" t="s">
        <v>8</v>
      </c>
      <c r="C694" s="4" t="s">
        <v>237</v>
      </c>
      <c r="D694" s="12">
        <v>2</v>
      </c>
      <c r="E694" s="12">
        <v>1</v>
      </c>
      <c r="F694" s="13">
        <v>179182</v>
      </c>
      <c r="G694" s="14">
        <v>0.63</v>
      </c>
      <c r="H694" s="13">
        <v>91205</v>
      </c>
      <c r="I694" s="15">
        <f t="shared" si="30"/>
        <v>0.5</v>
      </c>
      <c r="J694" s="13">
        <f t="shared" si="31"/>
        <v>89591</v>
      </c>
      <c r="K694" s="13">
        <f t="shared" si="32"/>
        <v>112884.66</v>
      </c>
    </row>
    <row r="695" spans="1:11" x14ac:dyDescent="0.25">
      <c r="A695" s="4" t="s">
        <v>737</v>
      </c>
      <c r="B695" s="4" t="s">
        <v>8</v>
      </c>
      <c r="C695" s="4" t="s">
        <v>237</v>
      </c>
      <c r="D695" s="12">
        <v>2</v>
      </c>
      <c r="E695" s="12">
        <v>0</v>
      </c>
      <c r="F695" s="13">
        <v>243515</v>
      </c>
      <c r="G695" s="14">
        <v>0.1</v>
      </c>
      <c r="H695" s="13">
        <v>0</v>
      </c>
      <c r="I695" s="15">
        <f t="shared" si="30"/>
        <v>0</v>
      </c>
      <c r="J695" s="13">
        <f t="shared" si="31"/>
        <v>0</v>
      </c>
      <c r="K695" s="13">
        <f t="shared" si="32"/>
        <v>24351.5</v>
      </c>
    </row>
    <row r="696" spans="1:11" x14ac:dyDescent="0.25">
      <c r="A696" s="4" t="s">
        <v>738</v>
      </c>
      <c r="B696" s="4" t="s">
        <v>8</v>
      </c>
      <c r="C696" s="4" t="s">
        <v>237</v>
      </c>
      <c r="D696" s="12">
        <v>8</v>
      </c>
      <c r="E696" s="12">
        <v>0</v>
      </c>
      <c r="F696" s="13">
        <v>62474</v>
      </c>
      <c r="G696" s="14">
        <v>0.16</v>
      </c>
      <c r="H696" s="13">
        <v>0</v>
      </c>
      <c r="I696" s="15">
        <f t="shared" si="30"/>
        <v>0</v>
      </c>
      <c r="J696" s="13">
        <f t="shared" si="31"/>
        <v>0</v>
      </c>
      <c r="K696" s="13">
        <f t="shared" si="32"/>
        <v>9995.84</v>
      </c>
    </row>
    <row r="697" spans="1:11" x14ac:dyDescent="0.25">
      <c r="A697" s="4" t="s">
        <v>739</v>
      </c>
      <c r="B697" s="4" t="s">
        <v>8</v>
      </c>
      <c r="C697" s="4" t="s">
        <v>237</v>
      </c>
      <c r="D697" s="12">
        <v>4</v>
      </c>
      <c r="E697" s="12">
        <v>2</v>
      </c>
      <c r="F697" s="13">
        <v>127022</v>
      </c>
      <c r="G697" s="14">
        <v>0.61</v>
      </c>
      <c r="H697" s="13">
        <v>71824</v>
      </c>
      <c r="I697" s="15">
        <f t="shared" si="30"/>
        <v>0.5</v>
      </c>
      <c r="J697" s="13">
        <f t="shared" si="31"/>
        <v>63511</v>
      </c>
      <c r="K697" s="13">
        <f t="shared" si="32"/>
        <v>77483.42</v>
      </c>
    </row>
    <row r="698" spans="1:11" x14ac:dyDescent="0.25">
      <c r="A698" s="4" t="s">
        <v>740</v>
      </c>
      <c r="B698" s="4" t="s">
        <v>8</v>
      </c>
      <c r="C698" s="4" t="s">
        <v>237</v>
      </c>
      <c r="D698" s="12">
        <v>1</v>
      </c>
      <c r="E698" s="12">
        <v>0</v>
      </c>
      <c r="F698" s="13">
        <v>40570</v>
      </c>
      <c r="G698" s="14">
        <v>0.15</v>
      </c>
      <c r="H698" s="13">
        <v>0</v>
      </c>
      <c r="I698" s="15">
        <f t="shared" si="30"/>
        <v>0</v>
      </c>
      <c r="J698" s="13">
        <f t="shared" si="31"/>
        <v>0</v>
      </c>
      <c r="K698" s="13">
        <f t="shared" si="32"/>
        <v>6085.5</v>
      </c>
    </row>
    <row r="699" spans="1:11" x14ac:dyDescent="0.25">
      <c r="A699" s="4" t="s">
        <v>741</v>
      </c>
      <c r="B699" s="4" t="s">
        <v>8</v>
      </c>
      <c r="C699" s="4" t="s">
        <v>237</v>
      </c>
      <c r="D699" s="12">
        <v>4</v>
      </c>
      <c r="E699" s="12">
        <v>2</v>
      </c>
      <c r="F699" s="13">
        <v>122811</v>
      </c>
      <c r="G699" s="14">
        <v>0.59</v>
      </c>
      <c r="H699" s="13">
        <v>57942</v>
      </c>
      <c r="I699" s="15">
        <f t="shared" si="30"/>
        <v>0.5</v>
      </c>
      <c r="J699" s="13">
        <f t="shared" si="31"/>
        <v>61405.5</v>
      </c>
      <c r="K699" s="13">
        <f t="shared" si="32"/>
        <v>72458.489999999991</v>
      </c>
    </row>
    <row r="700" spans="1:11" x14ac:dyDescent="0.25">
      <c r="A700" s="4" t="s">
        <v>742</v>
      </c>
      <c r="B700" s="4" t="s">
        <v>8</v>
      </c>
      <c r="C700" s="4" t="s">
        <v>237</v>
      </c>
      <c r="D700" s="12">
        <v>3</v>
      </c>
      <c r="E700" s="12">
        <v>1</v>
      </c>
      <c r="F700" s="13">
        <v>117836</v>
      </c>
      <c r="G700" s="14">
        <v>0.43</v>
      </c>
      <c r="H700" s="13">
        <v>43017</v>
      </c>
      <c r="I700" s="15">
        <f t="shared" si="30"/>
        <v>0.33333333333333331</v>
      </c>
      <c r="J700" s="13">
        <f t="shared" si="31"/>
        <v>39278.666666666664</v>
      </c>
      <c r="K700" s="13">
        <f t="shared" si="32"/>
        <v>50669.479999999996</v>
      </c>
    </row>
    <row r="701" spans="1:11" x14ac:dyDescent="0.25">
      <c r="A701" s="4" t="s">
        <v>743</v>
      </c>
      <c r="B701" s="4" t="s">
        <v>8</v>
      </c>
      <c r="C701" s="4" t="s">
        <v>237</v>
      </c>
      <c r="D701" s="12">
        <v>3</v>
      </c>
      <c r="E701" s="12">
        <v>1</v>
      </c>
      <c r="F701" s="13">
        <v>94514</v>
      </c>
      <c r="G701" s="14">
        <v>0.45</v>
      </c>
      <c r="H701" s="13">
        <v>33790</v>
      </c>
      <c r="I701" s="15">
        <f t="shared" si="30"/>
        <v>0.33333333333333331</v>
      </c>
      <c r="J701" s="13">
        <f t="shared" si="31"/>
        <v>31504.666666666664</v>
      </c>
      <c r="K701" s="13">
        <f t="shared" si="32"/>
        <v>42531.3</v>
      </c>
    </row>
    <row r="702" spans="1:11" x14ac:dyDescent="0.25">
      <c r="A702" s="4" t="s">
        <v>744</v>
      </c>
      <c r="B702" s="4" t="s">
        <v>8</v>
      </c>
      <c r="C702" s="4" t="s">
        <v>237</v>
      </c>
      <c r="D702" s="12">
        <v>1</v>
      </c>
      <c r="E702" s="12">
        <v>0</v>
      </c>
      <c r="F702" s="13">
        <v>83181</v>
      </c>
      <c r="G702" s="14">
        <v>0.09</v>
      </c>
      <c r="H702" s="13">
        <v>0</v>
      </c>
      <c r="I702" s="15">
        <f t="shared" si="30"/>
        <v>0</v>
      </c>
      <c r="J702" s="13">
        <f t="shared" si="31"/>
        <v>0</v>
      </c>
      <c r="K702" s="13">
        <f t="shared" si="32"/>
        <v>7486.29</v>
      </c>
    </row>
    <row r="703" spans="1:11" x14ac:dyDescent="0.25">
      <c r="A703" s="4" t="s">
        <v>745</v>
      </c>
      <c r="B703" s="4" t="s">
        <v>8</v>
      </c>
      <c r="C703" s="4" t="s">
        <v>237</v>
      </c>
      <c r="D703" s="12">
        <v>2</v>
      </c>
      <c r="E703" s="12">
        <v>0</v>
      </c>
      <c r="F703" s="13">
        <v>8136</v>
      </c>
      <c r="G703" s="14">
        <v>0.18</v>
      </c>
      <c r="H703" s="13">
        <v>0</v>
      </c>
      <c r="I703" s="15">
        <f t="shared" si="30"/>
        <v>0</v>
      </c>
      <c r="J703" s="13">
        <f t="shared" si="31"/>
        <v>0</v>
      </c>
      <c r="K703" s="13">
        <f t="shared" si="32"/>
        <v>1464.48</v>
      </c>
    </row>
    <row r="704" spans="1:11" x14ac:dyDescent="0.25">
      <c r="A704" s="4" t="s">
        <v>746</v>
      </c>
      <c r="B704" s="4" t="s">
        <v>8</v>
      </c>
      <c r="C704" s="4" t="s">
        <v>237</v>
      </c>
      <c r="D704" s="12">
        <v>6</v>
      </c>
      <c r="E704" s="12">
        <v>3</v>
      </c>
      <c r="F704" s="13">
        <v>36736</v>
      </c>
      <c r="G704" s="14">
        <v>0.68</v>
      </c>
      <c r="H704" s="13">
        <v>20448</v>
      </c>
      <c r="I704" s="15">
        <f t="shared" si="30"/>
        <v>0.5</v>
      </c>
      <c r="J704" s="13">
        <f t="shared" si="31"/>
        <v>18368</v>
      </c>
      <c r="K704" s="13">
        <f t="shared" si="32"/>
        <v>24980.480000000003</v>
      </c>
    </row>
    <row r="705" spans="1:11" x14ac:dyDescent="0.25">
      <c r="A705" s="4" t="s">
        <v>747</v>
      </c>
      <c r="B705" s="4" t="s">
        <v>8</v>
      </c>
      <c r="C705" s="4" t="s">
        <v>237</v>
      </c>
      <c r="D705" s="12">
        <v>1</v>
      </c>
      <c r="E705" s="12">
        <v>0</v>
      </c>
      <c r="F705" s="13">
        <v>0</v>
      </c>
      <c r="G705" s="14">
        <v>0.08</v>
      </c>
      <c r="H705" s="13">
        <v>0</v>
      </c>
      <c r="I705" s="15">
        <f t="shared" si="30"/>
        <v>0</v>
      </c>
      <c r="J705" s="13">
        <f t="shared" si="31"/>
        <v>0</v>
      </c>
      <c r="K705" s="13">
        <f t="shared" si="32"/>
        <v>0</v>
      </c>
    </row>
    <row r="706" spans="1:11" x14ac:dyDescent="0.25">
      <c r="A706" s="4" t="s">
        <v>748</v>
      </c>
      <c r="B706" s="4" t="s">
        <v>8</v>
      </c>
      <c r="C706" s="4" t="s">
        <v>237</v>
      </c>
      <c r="D706" s="12">
        <v>3</v>
      </c>
      <c r="E706" s="12">
        <v>1</v>
      </c>
      <c r="F706" s="13">
        <v>123429</v>
      </c>
      <c r="G706" s="14">
        <v>0.43</v>
      </c>
      <c r="H706" s="13">
        <v>7168</v>
      </c>
      <c r="I706" s="15">
        <f t="shared" si="30"/>
        <v>0.33333333333333331</v>
      </c>
      <c r="J706" s="13">
        <f t="shared" si="31"/>
        <v>41143</v>
      </c>
      <c r="K706" s="13">
        <f t="shared" si="32"/>
        <v>53074.47</v>
      </c>
    </row>
    <row r="707" spans="1:11" x14ac:dyDescent="0.25">
      <c r="A707" s="4" t="s">
        <v>749</v>
      </c>
      <c r="B707" s="4" t="s">
        <v>8</v>
      </c>
      <c r="C707" s="4" t="s">
        <v>237</v>
      </c>
      <c r="D707" s="12">
        <v>8</v>
      </c>
      <c r="E707" s="12">
        <v>3</v>
      </c>
      <c r="F707" s="13">
        <v>43146</v>
      </c>
      <c r="G707" s="14">
        <v>0.56999999999999995</v>
      </c>
      <c r="H707" s="13">
        <v>18171</v>
      </c>
      <c r="I707" s="15">
        <f t="shared" si="30"/>
        <v>0.375</v>
      </c>
      <c r="J707" s="13">
        <f t="shared" si="31"/>
        <v>16179.75</v>
      </c>
      <c r="K707" s="13">
        <f t="shared" si="32"/>
        <v>24593.219999999998</v>
      </c>
    </row>
    <row r="708" spans="1:11" x14ac:dyDescent="0.25">
      <c r="A708" s="4" t="s">
        <v>750</v>
      </c>
      <c r="B708" s="4" t="s">
        <v>8</v>
      </c>
      <c r="C708" s="4" t="s">
        <v>237</v>
      </c>
      <c r="D708" s="12">
        <v>2</v>
      </c>
      <c r="E708" s="12">
        <v>0</v>
      </c>
      <c r="F708" s="13">
        <v>188610</v>
      </c>
      <c r="G708" s="14">
        <v>0.08</v>
      </c>
      <c r="H708" s="13">
        <v>0</v>
      </c>
      <c r="I708" s="15">
        <f t="shared" si="30"/>
        <v>0</v>
      </c>
      <c r="J708" s="13">
        <f t="shared" si="31"/>
        <v>0</v>
      </c>
      <c r="K708" s="13">
        <f t="shared" si="32"/>
        <v>15088.800000000001</v>
      </c>
    </row>
    <row r="709" spans="1:11" x14ac:dyDescent="0.25">
      <c r="A709" s="4" t="s">
        <v>751</v>
      </c>
      <c r="B709" s="4" t="s">
        <v>8</v>
      </c>
      <c r="C709" s="4" t="s">
        <v>237</v>
      </c>
      <c r="D709" s="12">
        <v>8</v>
      </c>
      <c r="E709" s="12">
        <v>4</v>
      </c>
      <c r="F709" s="13">
        <v>9425</v>
      </c>
      <c r="G709" s="14">
        <v>0.62</v>
      </c>
      <c r="H709" s="13">
        <v>4490</v>
      </c>
      <c r="I709" s="15">
        <f t="shared" ref="I709:I766" si="33">IF(D709&gt;0,MIN(E709/D709,1),0)</f>
        <v>0.5</v>
      </c>
      <c r="J709" s="13">
        <f t="shared" ref="J709:J772" si="34">F709*I709</f>
        <v>4712.5</v>
      </c>
      <c r="K709" s="13">
        <f t="shared" ref="K709:K766" si="35">F709*G709</f>
        <v>5843.5</v>
      </c>
    </row>
    <row r="710" spans="1:11" x14ac:dyDescent="0.25">
      <c r="A710" s="4" t="s">
        <v>752</v>
      </c>
      <c r="B710" s="4" t="s">
        <v>8</v>
      </c>
      <c r="C710" s="4" t="s">
        <v>237</v>
      </c>
      <c r="D710" s="12">
        <v>1</v>
      </c>
      <c r="E710" s="12">
        <v>0</v>
      </c>
      <c r="F710" s="13">
        <v>84250</v>
      </c>
      <c r="G710" s="14">
        <v>0.16</v>
      </c>
      <c r="H710" s="13">
        <v>0</v>
      </c>
      <c r="I710" s="15">
        <f t="shared" si="33"/>
        <v>0</v>
      </c>
      <c r="J710" s="13">
        <f t="shared" si="34"/>
        <v>0</v>
      </c>
      <c r="K710" s="13">
        <f t="shared" si="35"/>
        <v>13480</v>
      </c>
    </row>
    <row r="711" spans="1:11" x14ac:dyDescent="0.25">
      <c r="A711" s="4" t="s">
        <v>753</v>
      </c>
      <c r="B711" s="4" t="s">
        <v>8</v>
      </c>
      <c r="C711" s="4" t="s">
        <v>237</v>
      </c>
      <c r="D711" s="12">
        <v>2</v>
      </c>
      <c r="E711" s="12">
        <v>0</v>
      </c>
      <c r="F711" s="13">
        <v>84974</v>
      </c>
      <c r="G711" s="14">
        <v>0.18</v>
      </c>
      <c r="H711" s="13">
        <v>0</v>
      </c>
      <c r="I711" s="15">
        <f t="shared" si="33"/>
        <v>0</v>
      </c>
      <c r="J711" s="13">
        <f t="shared" si="34"/>
        <v>0</v>
      </c>
      <c r="K711" s="13">
        <f t="shared" si="35"/>
        <v>15295.32</v>
      </c>
    </row>
    <row r="712" spans="1:11" x14ac:dyDescent="0.25">
      <c r="A712" s="4" t="s">
        <v>754</v>
      </c>
      <c r="B712" s="4" t="s">
        <v>8</v>
      </c>
      <c r="C712" s="4" t="s">
        <v>237</v>
      </c>
      <c r="D712" s="12">
        <v>6</v>
      </c>
      <c r="E712" s="12">
        <v>1</v>
      </c>
      <c r="F712" s="13">
        <v>45871</v>
      </c>
      <c r="G712" s="14">
        <v>0.23</v>
      </c>
      <c r="H712" s="13">
        <v>7686</v>
      </c>
      <c r="I712" s="15">
        <f t="shared" si="33"/>
        <v>0.16666666666666666</v>
      </c>
      <c r="J712" s="13">
        <f t="shared" si="34"/>
        <v>7645.1666666666661</v>
      </c>
      <c r="K712" s="13">
        <f t="shared" si="35"/>
        <v>10550.33</v>
      </c>
    </row>
    <row r="713" spans="1:11" x14ac:dyDescent="0.25">
      <c r="A713" s="4" t="s">
        <v>755</v>
      </c>
      <c r="B713" s="4" t="s">
        <v>8</v>
      </c>
      <c r="C713" s="4" t="s">
        <v>237</v>
      </c>
      <c r="D713" s="12">
        <v>2</v>
      </c>
      <c r="E713" s="12">
        <v>0</v>
      </c>
      <c r="F713" s="13">
        <v>262402</v>
      </c>
      <c r="G713" s="14">
        <v>0.16</v>
      </c>
      <c r="H713" s="13">
        <v>0</v>
      </c>
      <c r="I713" s="15">
        <f t="shared" si="33"/>
        <v>0</v>
      </c>
      <c r="J713" s="13">
        <f t="shared" si="34"/>
        <v>0</v>
      </c>
      <c r="K713" s="13">
        <f t="shared" si="35"/>
        <v>41984.32</v>
      </c>
    </row>
    <row r="714" spans="1:11" x14ac:dyDescent="0.25">
      <c r="A714" s="4" t="s">
        <v>756</v>
      </c>
      <c r="B714" s="4" t="s">
        <v>8</v>
      </c>
      <c r="C714" s="4" t="s">
        <v>237</v>
      </c>
      <c r="D714" s="12">
        <v>4</v>
      </c>
      <c r="E714" s="12">
        <v>1</v>
      </c>
      <c r="F714" s="13">
        <v>16780</v>
      </c>
      <c r="G714" s="14">
        <v>0.28999999999999998</v>
      </c>
      <c r="H714" s="13">
        <v>4393</v>
      </c>
      <c r="I714" s="15">
        <f t="shared" si="33"/>
        <v>0.25</v>
      </c>
      <c r="J714" s="13">
        <f t="shared" si="34"/>
        <v>4195</v>
      </c>
      <c r="K714" s="13">
        <f t="shared" si="35"/>
        <v>4866.2</v>
      </c>
    </row>
    <row r="715" spans="1:11" x14ac:dyDescent="0.25">
      <c r="A715" s="4" t="s">
        <v>757</v>
      </c>
      <c r="B715" s="4" t="s">
        <v>8</v>
      </c>
      <c r="C715" s="4" t="s">
        <v>237</v>
      </c>
      <c r="D715" s="12">
        <v>3</v>
      </c>
      <c r="E715" s="12">
        <v>1</v>
      </c>
      <c r="F715" s="13">
        <v>96853</v>
      </c>
      <c r="G715" s="14">
        <v>0.53</v>
      </c>
      <c r="H715" s="13">
        <v>34385</v>
      </c>
      <c r="I715" s="15">
        <f t="shared" si="33"/>
        <v>0.33333333333333331</v>
      </c>
      <c r="J715" s="13">
        <f t="shared" si="34"/>
        <v>32284.333333333332</v>
      </c>
      <c r="K715" s="13">
        <f t="shared" si="35"/>
        <v>51332.090000000004</v>
      </c>
    </row>
    <row r="716" spans="1:11" x14ac:dyDescent="0.25">
      <c r="A716" s="4" t="s">
        <v>758</v>
      </c>
      <c r="B716" s="4" t="s">
        <v>8</v>
      </c>
      <c r="C716" s="4" t="s">
        <v>237</v>
      </c>
      <c r="D716" s="12">
        <v>2</v>
      </c>
      <c r="E716" s="12">
        <v>0</v>
      </c>
      <c r="F716" s="13">
        <v>4764</v>
      </c>
      <c r="G716" s="14">
        <v>0.16</v>
      </c>
      <c r="H716" s="13">
        <v>0</v>
      </c>
      <c r="I716" s="15">
        <f t="shared" si="33"/>
        <v>0</v>
      </c>
      <c r="J716" s="13">
        <f t="shared" si="34"/>
        <v>0</v>
      </c>
      <c r="K716" s="13">
        <f t="shared" si="35"/>
        <v>762.24</v>
      </c>
    </row>
    <row r="717" spans="1:11" x14ac:dyDescent="0.25">
      <c r="A717" s="4" t="s">
        <v>759</v>
      </c>
      <c r="B717" s="4" t="s">
        <v>8</v>
      </c>
      <c r="C717" s="4" t="s">
        <v>237</v>
      </c>
      <c r="D717" s="12">
        <v>4</v>
      </c>
      <c r="E717" s="12">
        <v>0</v>
      </c>
      <c r="F717" s="13">
        <v>7277</v>
      </c>
      <c r="G717" s="14">
        <v>0.13</v>
      </c>
      <c r="H717" s="13">
        <v>0</v>
      </c>
      <c r="I717" s="15">
        <f t="shared" si="33"/>
        <v>0</v>
      </c>
      <c r="J717" s="13">
        <f t="shared" si="34"/>
        <v>0</v>
      </c>
      <c r="K717" s="13">
        <f t="shared" si="35"/>
        <v>946.01</v>
      </c>
    </row>
    <row r="718" spans="1:11" x14ac:dyDescent="0.25">
      <c r="A718" s="4" t="s">
        <v>760</v>
      </c>
      <c r="B718" s="4" t="s">
        <v>8</v>
      </c>
      <c r="C718" s="4" t="s">
        <v>237</v>
      </c>
      <c r="D718" s="12">
        <v>1</v>
      </c>
      <c r="E718" s="12">
        <v>1</v>
      </c>
      <c r="F718" s="13">
        <v>84510</v>
      </c>
      <c r="G718" s="14">
        <v>1</v>
      </c>
      <c r="H718" s="13">
        <v>80101</v>
      </c>
      <c r="I718" s="15">
        <f t="shared" si="33"/>
        <v>1</v>
      </c>
      <c r="J718" s="13">
        <f t="shared" si="34"/>
        <v>84510</v>
      </c>
      <c r="K718" s="13">
        <f t="shared" si="35"/>
        <v>84510</v>
      </c>
    </row>
    <row r="719" spans="1:11" x14ac:dyDescent="0.25">
      <c r="A719" s="4" t="s">
        <v>761</v>
      </c>
      <c r="B719" s="4" t="s">
        <v>8</v>
      </c>
      <c r="C719" s="4" t="s">
        <v>237</v>
      </c>
      <c r="D719" s="12">
        <v>6</v>
      </c>
      <c r="E719" s="12">
        <v>3</v>
      </c>
      <c r="F719" s="13">
        <v>16066</v>
      </c>
      <c r="G719" s="14">
        <v>0.59</v>
      </c>
      <c r="H719" s="13">
        <v>8295</v>
      </c>
      <c r="I719" s="15">
        <f t="shared" si="33"/>
        <v>0.5</v>
      </c>
      <c r="J719" s="13">
        <f t="shared" si="34"/>
        <v>8033</v>
      </c>
      <c r="K719" s="13">
        <f t="shared" si="35"/>
        <v>9478.9399999999987</v>
      </c>
    </row>
    <row r="720" spans="1:11" x14ac:dyDescent="0.25">
      <c r="A720" s="4" t="s">
        <v>762</v>
      </c>
      <c r="B720" s="4" t="s">
        <v>8</v>
      </c>
      <c r="C720" s="4" t="s">
        <v>237</v>
      </c>
      <c r="D720" s="12">
        <v>2</v>
      </c>
      <c r="E720" s="12">
        <v>1</v>
      </c>
      <c r="F720" s="13">
        <v>51030</v>
      </c>
      <c r="G720" s="14">
        <v>0.61</v>
      </c>
      <c r="H720" s="13">
        <v>25128</v>
      </c>
      <c r="I720" s="15">
        <f t="shared" si="33"/>
        <v>0.5</v>
      </c>
      <c r="J720" s="13">
        <f t="shared" si="34"/>
        <v>25515</v>
      </c>
      <c r="K720" s="13">
        <f t="shared" si="35"/>
        <v>31128.3</v>
      </c>
    </row>
    <row r="721" spans="1:11" x14ac:dyDescent="0.25">
      <c r="A721" s="4" t="s">
        <v>763</v>
      </c>
      <c r="B721" s="4" t="s">
        <v>8</v>
      </c>
      <c r="C721" s="4" t="s">
        <v>237</v>
      </c>
      <c r="D721" s="12">
        <v>9</v>
      </c>
      <c r="E721" s="12">
        <v>4</v>
      </c>
      <c r="F721" s="13">
        <v>29213</v>
      </c>
      <c r="G721" s="14">
        <v>0.63</v>
      </c>
      <c r="H721" s="13">
        <v>14721</v>
      </c>
      <c r="I721" s="15">
        <f t="shared" si="33"/>
        <v>0.44444444444444442</v>
      </c>
      <c r="J721" s="13">
        <f t="shared" si="34"/>
        <v>12983.555555555555</v>
      </c>
      <c r="K721" s="13">
        <f t="shared" si="35"/>
        <v>18404.189999999999</v>
      </c>
    </row>
    <row r="722" spans="1:11" x14ac:dyDescent="0.25">
      <c r="A722" s="4" t="s">
        <v>764</v>
      </c>
      <c r="B722" s="4" t="s">
        <v>8</v>
      </c>
      <c r="C722" s="4" t="s">
        <v>237</v>
      </c>
      <c r="D722" s="12">
        <v>8</v>
      </c>
      <c r="E722" s="12">
        <v>0</v>
      </c>
      <c r="F722" s="13">
        <v>9853</v>
      </c>
      <c r="G722" s="14">
        <v>7.0000000000000007E-2</v>
      </c>
      <c r="H722" s="13">
        <v>0</v>
      </c>
      <c r="I722" s="15">
        <f t="shared" si="33"/>
        <v>0</v>
      </c>
      <c r="J722" s="13">
        <f t="shared" si="34"/>
        <v>0</v>
      </c>
      <c r="K722" s="13">
        <f t="shared" si="35"/>
        <v>689.71</v>
      </c>
    </row>
    <row r="723" spans="1:11" x14ac:dyDescent="0.25">
      <c r="A723" s="4" t="s">
        <v>765</v>
      </c>
      <c r="B723" s="4" t="s">
        <v>8</v>
      </c>
      <c r="C723" s="4" t="s">
        <v>237</v>
      </c>
      <c r="D723" s="12">
        <v>2</v>
      </c>
      <c r="E723" s="12">
        <v>0</v>
      </c>
      <c r="F723" s="13">
        <v>222036</v>
      </c>
      <c r="G723" s="14">
        <v>0.18</v>
      </c>
      <c r="H723" s="13">
        <v>0</v>
      </c>
      <c r="I723" s="15">
        <f t="shared" si="33"/>
        <v>0</v>
      </c>
      <c r="J723" s="13">
        <f t="shared" si="34"/>
        <v>0</v>
      </c>
      <c r="K723" s="13">
        <f t="shared" si="35"/>
        <v>39966.479999999996</v>
      </c>
    </row>
    <row r="724" spans="1:11" x14ac:dyDescent="0.25">
      <c r="A724" s="4" t="s">
        <v>766</v>
      </c>
      <c r="B724" s="4" t="s">
        <v>8</v>
      </c>
      <c r="C724" s="4" t="s">
        <v>237</v>
      </c>
      <c r="D724" s="12">
        <v>3</v>
      </c>
      <c r="E724" s="12">
        <v>0</v>
      </c>
      <c r="F724" s="13">
        <v>12379</v>
      </c>
      <c r="G724" s="14">
        <v>0.18</v>
      </c>
      <c r="H724" s="13">
        <v>0</v>
      </c>
      <c r="I724" s="15">
        <f t="shared" si="33"/>
        <v>0</v>
      </c>
      <c r="J724" s="13">
        <f t="shared" si="34"/>
        <v>0</v>
      </c>
      <c r="K724" s="13">
        <f t="shared" si="35"/>
        <v>2228.2199999999998</v>
      </c>
    </row>
    <row r="725" spans="1:11" x14ac:dyDescent="0.25">
      <c r="A725" s="4" t="s">
        <v>767</v>
      </c>
      <c r="B725" s="4" t="s">
        <v>8</v>
      </c>
      <c r="C725" s="4" t="s">
        <v>237</v>
      </c>
      <c r="D725" s="12">
        <v>3</v>
      </c>
      <c r="E725" s="12">
        <v>2</v>
      </c>
      <c r="F725" s="13">
        <v>85593</v>
      </c>
      <c r="G725" s="14">
        <v>0.78</v>
      </c>
      <c r="H725" s="13">
        <v>55416</v>
      </c>
      <c r="I725" s="15">
        <f t="shared" si="33"/>
        <v>0.66666666666666663</v>
      </c>
      <c r="J725" s="13">
        <f t="shared" si="34"/>
        <v>57062</v>
      </c>
      <c r="K725" s="13">
        <f t="shared" si="35"/>
        <v>66762.540000000008</v>
      </c>
    </row>
    <row r="726" spans="1:11" x14ac:dyDescent="0.25">
      <c r="A726" s="4" t="s">
        <v>768</v>
      </c>
      <c r="B726" s="4" t="s">
        <v>8</v>
      </c>
      <c r="C726" s="4" t="s">
        <v>237</v>
      </c>
      <c r="D726" s="12">
        <v>1</v>
      </c>
      <c r="E726" s="12">
        <v>0</v>
      </c>
      <c r="F726" s="13">
        <v>140066</v>
      </c>
      <c r="G726" s="14">
        <v>0.19</v>
      </c>
      <c r="H726" s="13">
        <v>0</v>
      </c>
      <c r="I726" s="15">
        <f t="shared" si="33"/>
        <v>0</v>
      </c>
      <c r="J726" s="13">
        <f t="shared" si="34"/>
        <v>0</v>
      </c>
      <c r="K726" s="13">
        <f t="shared" si="35"/>
        <v>26612.54</v>
      </c>
    </row>
    <row r="727" spans="1:11" x14ac:dyDescent="0.25">
      <c r="A727" s="4" t="s">
        <v>769</v>
      </c>
      <c r="B727" s="4" t="s">
        <v>8</v>
      </c>
      <c r="C727" s="4" t="s">
        <v>237</v>
      </c>
      <c r="D727" s="12">
        <v>4</v>
      </c>
      <c r="E727" s="12">
        <v>2</v>
      </c>
      <c r="F727" s="13">
        <v>158513</v>
      </c>
      <c r="G727" s="14">
        <v>0.69</v>
      </c>
      <c r="H727" s="13">
        <v>87140</v>
      </c>
      <c r="I727" s="15">
        <f t="shared" si="33"/>
        <v>0.5</v>
      </c>
      <c r="J727" s="13">
        <f t="shared" si="34"/>
        <v>79256.5</v>
      </c>
      <c r="K727" s="13">
        <f t="shared" si="35"/>
        <v>109373.96999999999</v>
      </c>
    </row>
    <row r="728" spans="1:11" x14ac:dyDescent="0.25">
      <c r="A728" s="4" t="s">
        <v>770</v>
      </c>
      <c r="B728" s="4" t="s">
        <v>8</v>
      </c>
      <c r="C728" s="4" t="s">
        <v>237</v>
      </c>
      <c r="D728" s="12">
        <v>3</v>
      </c>
      <c r="E728" s="12">
        <v>1</v>
      </c>
      <c r="F728" s="13">
        <v>72593</v>
      </c>
      <c r="G728" s="14">
        <v>0.46</v>
      </c>
      <c r="H728" s="13">
        <v>27399</v>
      </c>
      <c r="I728" s="15">
        <f t="shared" si="33"/>
        <v>0.33333333333333331</v>
      </c>
      <c r="J728" s="13">
        <f t="shared" si="34"/>
        <v>24197.666666666664</v>
      </c>
      <c r="K728" s="13">
        <f t="shared" si="35"/>
        <v>33392.78</v>
      </c>
    </row>
    <row r="729" spans="1:11" x14ac:dyDescent="0.25">
      <c r="A729" s="4" t="s">
        <v>771</v>
      </c>
      <c r="B729" s="4" t="s">
        <v>8</v>
      </c>
      <c r="C729" s="4" t="s">
        <v>237</v>
      </c>
      <c r="D729" s="12">
        <v>3</v>
      </c>
      <c r="E729" s="12">
        <v>1</v>
      </c>
      <c r="F729" s="13">
        <v>20769</v>
      </c>
      <c r="G729" s="14">
        <v>0.51</v>
      </c>
      <c r="H729" s="13">
        <v>6945</v>
      </c>
      <c r="I729" s="15">
        <f t="shared" si="33"/>
        <v>0.33333333333333331</v>
      </c>
      <c r="J729" s="13">
        <f t="shared" si="34"/>
        <v>6923</v>
      </c>
      <c r="K729" s="13">
        <f t="shared" si="35"/>
        <v>10592.19</v>
      </c>
    </row>
    <row r="730" spans="1:11" x14ac:dyDescent="0.25">
      <c r="A730" s="4" t="s">
        <v>772</v>
      </c>
      <c r="B730" s="4" t="s">
        <v>8</v>
      </c>
      <c r="C730" s="4" t="s">
        <v>237</v>
      </c>
      <c r="D730" s="12">
        <v>7</v>
      </c>
      <c r="E730" s="12">
        <v>1</v>
      </c>
      <c r="F730" s="13">
        <v>34217</v>
      </c>
      <c r="G730" s="14">
        <v>0.28999999999999998</v>
      </c>
      <c r="H730" s="13">
        <v>4708</v>
      </c>
      <c r="I730" s="15">
        <f t="shared" si="33"/>
        <v>0.14285714285714285</v>
      </c>
      <c r="J730" s="13">
        <f t="shared" si="34"/>
        <v>4888.1428571428569</v>
      </c>
      <c r="K730" s="13">
        <f t="shared" si="35"/>
        <v>9922.9299999999985</v>
      </c>
    </row>
    <row r="731" spans="1:11" x14ac:dyDescent="0.25">
      <c r="A731" s="4" t="s">
        <v>773</v>
      </c>
      <c r="B731" s="4" t="s">
        <v>8</v>
      </c>
      <c r="C731" s="4" t="s">
        <v>237</v>
      </c>
      <c r="D731" s="12">
        <v>2</v>
      </c>
      <c r="E731" s="12">
        <v>1</v>
      </c>
      <c r="F731" s="13">
        <v>276731</v>
      </c>
      <c r="G731" s="14">
        <v>0.7</v>
      </c>
      <c r="H731" s="13">
        <v>153687</v>
      </c>
      <c r="I731" s="15">
        <f t="shared" si="33"/>
        <v>0.5</v>
      </c>
      <c r="J731" s="13">
        <f t="shared" si="34"/>
        <v>138365.5</v>
      </c>
      <c r="K731" s="13">
        <f t="shared" si="35"/>
        <v>193711.69999999998</v>
      </c>
    </row>
    <row r="732" spans="1:11" x14ac:dyDescent="0.25">
      <c r="A732" s="4" t="s">
        <v>774</v>
      </c>
      <c r="B732" s="4" t="s">
        <v>8</v>
      </c>
      <c r="C732" s="4" t="s">
        <v>237</v>
      </c>
      <c r="D732" s="12">
        <v>3</v>
      </c>
      <c r="E732" s="12">
        <v>1</v>
      </c>
      <c r="F732" s="13">
        <v>127264</v>
      </c>
      <c r="G732" s="14">
        <v>0.45</v>
      </c>
      <c r="H732" s="13">
        <v>43180</v>
      </c>
      <c r="I732" s="15">
        <f t="shared" si="33"/>
        <v>0.33333333333333331</v>
      </c>
      <c r="J732" s="13">
        <f t="shared" si="34"/>
        <v>42421.333333333328</v>
      </c>
      <c r="K732" s="13">
        <f t="shared" si="35"/>
        <v>57268.800000000003</v>
      </c>
    </row>
    <row r="733" spans="1:11" x14ac:dyDescent="0.25">
      <c r="A733" s="4" t="s">
        <v>775</v>
      </c>
      <c r="B733" s="4" t="s">
        <v>8</v>
      </c>
      <c r="C733" s="4" t="s">
        <v>237</v>
      </c>
      <c r="D733" s="12">
        <v>6</v>
      </c>
      <c r="E733" s="12">
        <v>3</v>
      </c>
      <c r="F733" s="13">
        <v>20647</v>
      </c>
      <c r="G733" s="14">
        <v>0.64</v>
      </c>
      <c r="H733" s="13">
        <v>11604</v>
      </c>
      <c r="I733" s="15">
        <f t="shared" si="33"/>
        <v>0.5</v>
      </c>
      <c r="J733" s="13">
        <f t="shared" si="34"/>
        <v>10323.5</v>
      </c>
      <c r="K733" s="13">
        <f t="shared" si="35"/>
        <v>13214.08</v>
      </c>
    </row>
    <row r="734" spans="1:11" x14ac:dyDescent="0.25">
      <c r="A734" s="4" t="s">
        <v>776</v>
      </c>
      <c r="B734" s="4" t="s">
        <v>8</v>
      </c>
      <c r="C734" s="4" t="s">
        <v>237</v>
      </c>
      <c r="D734" s="12">
        <v>3</v>
      </c>
      <c r="E734" s="12">
        <v>0</v>
      </c>
      <c r="F734" s="13">
        <v>23212</v>
      </c>
      <c r="G734" s="14">
        <v>0.12</v>
      </c>
      <c r="H734" s="13">
        <v>0</v>
      </c>
      <c r="I734" s="15">
        <f t="shared" si="33"/>
        <v>0</v>
      </c>
      <c r="J734" s="13">
        <f t="shared" si="34"/>
        <v>0</v>
      </c>
      <c r="K734" s="13">
        <f t="shared" si="35"/>
        <v>2785.44</v>
      </c>
    </row>
    <row r="735" spans="1:11" x14ac:dyDescent="0.25">
      <c r="A735" s="4" t="s">
        <v>777</v>
      </c>
      <c r="B735" s="4" t="s">
        <v>8</v>
      </c>
      <c r="C735" s="4" t="s">
        <v>237</v>
      </c>
      <c r="D735" s="12">
        <v>2</v>
      </c>
      <c r="E735" s="12">
        <v>0</v>
      </c>
      <c r="F735" s="13">
        <v>7423</v>
      </c>
      <c r="G735" s="14">
        <v>0.15</v>
      </c>
      <c r="H735" s="13">
        <v>0</v>
      </c>
      <c r="I735" s="15">
        <f t="shared" si="33"/>
        <v>0</v>
      </c>
      <c r="J735" s="13">
        <f t="shared" si="34"/>
        <v>0</v>
      </c>
      <c r="K735" s="13">
        <f t="shared" si="35"/>
        <v>1113.45</v>
      </c>
    </row>
    <row r="736" spans="1:11" x14ac:dyDescent="0.25">
      <c r="A736" s="4" t="s">
        <v>778</v>
      </c>
      <c r="B736" s="4" t="s">
        <v>8</v>
      </c>
      <c r="C736" s="4" t="s">
        <v>237</v>
      </c>
      <c r="D736" s="12">
        <v>3</v>
      </c>
      <c r="E736" s="12">
        <v>1</v>
      </c>
      <c r="F736" s="13">
        <v>105040</v>
      </c>
      <c r="G736" s="14">
        <v>0.52</v>
      </c>
      <c r="H736" s="13">
        <v>33594</v>
      </c>
      <c r="I736" s="15">
        <f t="shared" si="33"/>
        <v>0.33333333333333331</v>
      </c>
      <c r="J736" s="13">
        <f t="shared" si="34"/>
        <v>35013.333333333328</v>
      </c>
      <c r="K736" s="13">
        <f t="shared" si="35"/>
        <v>54620.800000000003</v>
      </c>
    </row>
    <row r="737" spans="1:11" x14ac:dyDescent="0.25">
      <c r="A737" s="4" t="s">
        <v>779</v>
      </c>
      <c r="B737" s="4" t="s">
        <v>8</v>
      </c>
      <c r="C737" s="4" t="s">
        <v>237</v>
      </c>
      <c r="D737" s="12">
        <v>6</v>
      </c>
      <c r="E737" s="12">
        <v>0</v>
      </c>
      <c r="F737" s="13">
        <v>21291</v>
      </c>
      <c r="G737" s="14">
        <v>0.13</v>
      </c>
      <c r="H737" s="13">
        <v>0</v>
      </c>
      <c r="I737" s="15">
        <f t="shared" si="33"/>
        <v>0</v>
      </c>
      <c r="J737" s="13">
        <f t="shared" si="34"/>
        <v>0</v>
      </c>
      <c r="K737" s="13">
        <f t="shared" si="35"/>
        <v>2767.83</v>
      </c>
    </row>
    <row r="738" spans="1:11" x14ac:dyDescent="0.25">
      <c r="A738" s="4" t="s">
        <v>780</v>
      </c>
      <c r="B738" s="4" t="s">
        <v>8</v>
      </c>
      <c r="C738" s="4" t="s">
        <v>237</v>
      </c>
      <c r="D738" s="12">
        <v>1</v>
      </c>
      <c r="E738" s="12">
        <v>0</v>
      </c>
      <c r="F738" s="13">
        <v>29871</v>
      </c>
      <c r="G738" s="14">
        <v>0.08</v>
      </c>
      <c r="H738" s="13">
        <v>0</v>
      </c>
      <c r="I738" s="15">
        <f t="shared" si="33"/>
        <v>0</v>
      </c>
      <c r="J738" s="13">
        <f t="shared" si="34"/>
        <v>0</v>
      </c>
      <c r="K738" s="13">
        <f t="shared" si="35"/>
        <v>2389.6799999999998</v>
      </c>
    </row>
    <row r="739" spans="1:11" x14ac:dyDescent="0.25">
      <c r="A739" s="4" t="s">
        <v>781</v>
      </c>
      <c r="B739" s="4" t="s">
        <v>8</v>
      </c>
      <c r="C739" s="4" t="s">
        <v>237</v>
      </c>
      <c r="D739" s="12">
        <v>3</v>
      </c>
      <c r="E739" s="12">
        <v>1</v>
      </c>
      <c r="F739" s="13">
        <v>11475</v>
      </c>
      <c r="G739" s="14">
        <v>0.48</v>
      </c>
      <c r="H739" s="13">
        <v>3794</v>
      </c>
      <c r="I739" s="15">
        <f t="shared" si="33"/>
        <v>0.33333333333333331</v>
      </c>
      <c r="J739" s="13">
        <f t="shared" si="34"/>
        <v>3825</v>
      </c>
      <c r="K739" s="13">
        <f t="shared" si="35"/>
        <v>5508</v>
      </c>
    </row>
    <row r="740" spans="1:11" x14ac:dyDescent="0.25">
      <c r="A740" s="4" t="s">
        <v>782</v>
      </c>
      <c r="B740" s="4" t="s">
        <v>8</v>
      </c>
      <c r="C740" s="4" t="s">
        <v>237</v>
      </c>
      <c r="D740" s="12">
        <v>8</v>
      </c>
      <c r="E740" s="12">
        <v>1</v>
      </c>
      <c r="F740" s="13">
        <v>59904</v>
      </c>
      <c r="G740" s="14">
        <v>0.31</v>
      </c>
      <c r="H740" s="13">
        <v>8150</v>
      </c>
      <c r="I740" s="15">
        <f t="shared" si="33"/>
        <v>0.125</v>
      </c>
      <c r="J740" s="13">
        <f t="shared" si="34"/>
        <v>7488</v>
      </c>
      <c r="K740" s="13">
        <f t="shared" si="35"/>
        <v>18570.240000000002</v>
      </c>
    </row>
    <row r="741" spans="1:11" x14ac:dyDescent="0.25">
      <c r="A741" s="4" t="s">
        <v>783</v>
      </c>
      <c r="B741" s="4" t="s">
        <v>8</v>
      </c>
      <c r="C741" s="4" t="s">
        <v>237</v>
      </c>
      <c r="D741" s="12">
        <v>8</v>
      </c>
      <c r="E741" s="12">
        <v>1</v>
      </c>
      <c r="F741" s="13">
        <v>48333</v>
      </c>
      <c r="G741" s="14">
        <v>0.17</v>
      </c>
      <c r="H741" s="13">
        <v>6272</v>
      </c>
      <c r="I741" s="15">
        <f t="shared" si="33"/>
        <v>0.125</v>
      </c>
      <c r="J741" s="13">
        <f t="shared" si="34"/>
        <v>6041.625</v>
      </c>
      <c r="K741" s="13">
        <f t="shared" si="35"/>
        <v>8216.61</v>
      </c>
    </row>
    <row r="742" spans="1:11" x14ac:dyDescent="0.25">
      <c r="A742" s="4" t="s">
        <v>784</v>
      </c>
      <c r="B742" s="4" t="s">
        <v>8</v>
      </c>
      <c r="C742" s="4" t="s">
        <v>237</v>
      </c>
      <c r="D742" s="12">
        <v>3</v>
      </c>
      <c r="E742" s="12">
        <v>1</v>
      </c>
      <c r="F742" s="13">
        <v>20718</v>
      </c>
      <c r="G742" s="14">
        <v>0.44</v>
      </c>
      <c r="H742" s="13">
        <v>7607</v>
      </c>
      <c r="I742" s="15">
        <f t="shared" si="33"/>
        <v>0.33333333333333331</v>
      </c>
      <c r="J742" s="13">
        <f t="shared" si="34"/>
        <v>6906</v>
      </c>
      <c r="K742" s="13">
        <f t="shared" si="35"/>
        <v>9115.92</v>
      </c>
    </row>
    <row r="743" spans="1:11" x14ac:dyDescent="0.25">
      <c r="A743" s="4" t="s">
        <v>785</v>
      </c>
      <c r="B743" s="4" t="s">
        <v>8</v>
      </c>
      <c r="C743" s="4" t="s">
        <v>237</v>
      </c>
      <c r="D743" s="12">
        <v>6</v>
      </c>
      <c r="E743" s="12">
        <v>3</v>
      </c>
      <c r="F743" s="13">
        <v>18688</v>
      </c>
      <c r="G743" s="14">
        <v>0.69</v>
      </c>
      <c r="H743" s="13">
        <v>10174</v>
      </c>
      <c r="I743" s="15">
        <f t="shared" si="33"/>
        <v>0.5</v>
      </c>
      <c r="J743" s="13">
        <f t="shared" si="34"/>
        <v>9344</v>
      </c>
      <c r="K743" s="13">
        <f t="shared" si="35"/>
        <v>12894.72</v>
      </c>
    </row>
    <row r="744" spans="1:11" x14ac:dyDescent="0.25">
      <c r="A744" s="4" t="s">
        <v>786</v>
      </c>
      <c r="B744" s="4" t="s">
        <v>8</v>
      </c>
      <c r="C744" s="4" t="s">
        <v>237</v>
      </c>
      <c r="D744" s="12">
        <v>1</v>
      </c>
      <c r="E744" s="12">
        <v>0</v>
      </c>
      <c r="F744" s="13">
        <v>97200</v>
      </c>
      <c r="G744" s="14">
        <v>0.05</v>
      </c>
      <c r="H744" s="13">
        <v>0</v>
      </c>
      <c r="I744" s="15">
        <f t="shared" si="33"/>
        <v>0</v>
      </c>
      <c r="J744" s="13">
        <f t="shared" si="34"/>
        <v>0</v>
      </c>
      <c r="K744" s="13">
        <f t="shared" si="35"/>
        <v>4860</v>
      </c>
    </row>
    <row r="745" spans="1:11" x14ac:dyDescent="0.25">
      <c r="A745" s="4" t="s">
        <v>787</v>
      </c>
      <c r="B745" s="4" t="s">
        <v>8</v>
      </c>
      <c r="C745" s="4" t="s">
        <v>237</v>
      </c>
      <c r="D745" s="12">
        <v>3</v>
      </c>
      <c r="E745" s="12">
        <v>1</v>
      </c>
      <c r="F745" s="13">
        <v>62717</v>
      </c>
      <c r="G745" s="14">
        <v>0.47</v>
      </c>
      <c r="H745" s="13">
        <v>21802</v>
      </c>
      <c r="I745" s="15">
        <f t="shared" si="33"/>
        <v>0.33333333333333331</v>
      </c>
      <c r="J745" s="13">
        <f t="shared" si="34"/>
        <v>20905.666666666664</v>
      </c>
      <c r="K745" s="13">
        <f t="shared" si="35"/>
        <v>29476.989999999998</v>
      </c>
    </row>
    <row r="746" spans="1:11" x14ac:dyDescent="0.25">
      <c r="A746" s="4" t="s">
        <v>788</v>
      </c>
      <c r="B746" s="4" t="s">
        <v>8</v>
      </c>
      <c r="C746" s="4" t="s">
        <v>237</v>
      </c>
      <c r="D746" s="12">
        <v>1</v>
      </c>
      <c r="E746" s="12">
        <v>0</v>
      </c>
      <c r="F746" s="13">
        <v>39725</v>
      </c>
      <c r="G746" s="14">
        <v>0.05</v>
      </c>
      <c r="H746" s="13">
        <v>0</v>
      </c>
      <c r="I746" s="15">
        <f t="shared" si="33"/>
        <v>0</v>
      </c>
      <c r="J746" s="13">
        <f t="shared" si="34"/>
        <v>0</v>
      </c>
      <c r="K746" s="13">
        <f t="shared" si="35"/>
        <v>1986.25</v>
      </c>
    </row>
    <row r="747" spans="1:11" x14ac:dyDescent="0.25">
      <c r="A747" s="4" t="s">
        <v>789</v>
      </c>
      <c r="B747" s="4" t="s">
        <v>8</v>
      </c>
      <c r="C747" s="4" t="s">
        <v>237</v>
      </c>
      <c r="D747" s="12">
        <v>1</v>
      </c>
      <c r="E747" s="12">
        <v>0</v>
      </c>
      <c r="F747" s="13">
        <v>35629</v>
      </c>
      <c r="G747" s="14">
        <v>0.12</v>
      </c>
      <c r="H747" s="13">
        <v>0</v>
      </c>
      <c r="I747" s="15">
        <f t="shared" si="33"/>
        <v>0</v>
      </c>
      <c r="J747" s="13">
        <f t="shared" si="34"/>
        <v>0</v>
      </c>
      <c r="K747" s="13">
        <f t="shared" si="35"/>
        <v>4275.4799999999996</v>
      </c>
    </row>
    <row r="748" spans="1:11" x14ac:dyDescent="0.25">
      <c r="A748" s="4" t="s">
        <v>790</v>
      </c>
      <c r="B748" s="4" t="s">
        <v>8</v>
      </c>
      <c r="C748" s="4" t="s">
        <v>237</v>
      </c>
      <c r="D748" s="12">
        <v>4</v>
      </c>
      <c r="E748" s="12">
        <v>2</v>
      </c>
      <c r="F748" s="13">
        <v>8173</v>
      </c>
      <c r="G748" s="14">
        <v>0.66</v>
      </c>
      <c r="H748" s="13">
        <v>4071</v>
      </c>
      <c r="I748" s="15">
        <f t="shared" si="33"/>
        <v>0.5</v>
      </c>
      <c r="J748" s="13">
        <f t="shared" si="34"/>
        <v>4086.5</v>
      </c>
      <c r="K748" s="13">
        <f t="shared" si="35"/>
        <v>5394.18</v>
      </c>
    </row>
    <row r="749" spans="1:11" x14ac:dyDescent="0.25">
      <c r="A749" s="4" t="s">
        <v>791</v>
      </c>
      <c r="B749" s="4" t="s">
        <v>8</v>
      </c>
      <c r="C749" s="4" t="s">
        <v>237</v>
      </c>
      <c r="D749" s="12">
        <v>10</v>
      </c>
      <c r="E749" s="12">
        <v>5</v>
      </c>
      <c r="F749" s="13">
        <v>30853</v>
      </c>
      <c r="G749" s="14">
        <v>0.56000000000000005</v>
      </c>
      <c r="H749" s="13">
        <v>15602</v>
      </c>
      <c r="I749" s="15">
        <f t="shared" si="33"/>
        <v>0.5</v>
      </c>
      <c r="J749" s="13">
        <f t="shared" si="34"/>
        <v>15426.5</v>
      </c>
      <c r="K749" s="13">
        <f t="shared" si="35"/>
        <v>17277.68</v>
      </c>
    </row>
    <row r="750" spans="1:11" x14ac:dyDescent="0.25">
      <c r="A750" s="4" t="s">
        <v>792</v>
      </c>
      <c r="B750" s="4" t="s">
        <v>8</v>
      </c>
      <c r="C750" s="4" t="s">
        <v>237</v>
      </c>
      <c r="D750" s="12">
        <v>4</v>
      </c>
      <c r="E750" s="12">
        <v>0</v>
      </c>
      <c r="F750" s="13">
        <v>91677</v>
      </c>
      <c r="G750" s="14">
        <v>0.12</v>
      </c>
      <c r="H750" s="13">
        <v>0</v>
      </c>
      <c r="I750" s="15">
        <f t="shared" si="33"/>
        <v>0</v>
      </c>
      <c r="J750" s="13">
        <f t="shared" si="34"/>
        <v>0</v>
      </c>
      <c r="K750" s="13">
        <f t="shared" si="35"/>
        <v>11001.24</v>
      </c>
    </row>
    <row r="751" spans="1:11" x14ac:dyDescent="0.25">
      <c r="A751" s="4" t="s">
        <v>793</v>
      </c>
      <c r="B751" s="4" t="s">
        <v>8</v>
      </c>
      <c r="C751" s="4" t="s">
        <v>237</v>
      </c>
      <c r="D751" s="12">
        <v>2</v>
      </c>
      <c r="E751" s="12">
        <v>1</v>
      </c>
      <c r="F751" s="13">
        <v>292976</v>
      </c>
      <c r="G751" s="14">
        <v>0.59</v>
      </c>
      <c r="H751" s="13">
        <v>159407</v>
      </c>
      <c r="I751" s="15">
        <f t="shared" si="33"/>
        <v>0.5</v>
      </c>
      <c r="J751" s="13">
        <f t="shared" si="34"/>
        <v>146488</v>
      </c>
      <c r="K751" s="13">
        <f t="shared" si="35"/>
        <v>172855.84</v>
      </c>
    </row>
    <row r="752" spans="1:11" x14ac:dyDescent="0.25">
      <c r="A752" s="4" t="s">
        <v>794</v>
      </c>
      <c r="B752" s="4" t="s">
        <v>8</v>
      </c>
      <c r="C752" s="4" t="s">
        <v>237</v>
      </c>
      <c r="D752" s="12">
        <v>5</v>
      </c>
      <c r="E752" s="12">
        <v>1</v>
      </c>
      <c r="F752" s="13">
        <v>10809</v>
      </c>
      <c r="G752" s="14">
        <v>0.39</v>
      </c>
      <c r="H752" s="13">
        <v>2177</v>
      </c>
      <c r="I752" s="15">
        <f t="shared" si="33"/>
        <v>0.2</v>
      </c>
      <c r="J752" s="13">
        <f t="shared" si="34"/>
        <v>2161.8000000000002</v>
      </c>
      <c r="K752" s="13">
        <f t="shared" si="35"/>
        <v>4215.51</v>
      </c>
    </row>
    <row r="753" spans="1:11" x14ac:dyDescent="0.25">
      <c r="A753" s="4" t="s">
        <v>795</v>
      </c>
      <c r="B753" s="4" t="s">
        <v>8</v>
      </c>
      <c r="C753" s="4" t="s">
        <v>237</v>
      </c>
      <c r="D753" s="12">
        <v>1</v>
      </c>
      <c r="E753" s="12">
        <v>0</v>
      </c>
      <c r="F753" s="13">
        <v>86059</v>
      </c>
      <c r="G753" s="14">
        <v>0.18</v>
      </c>
      <c r="H753" s="13">
        <v>0</v>
      </c>
      <c r="I753" s="15">
        <f t="shared" si="33"/>
        <v>0</v>
      </c>
      <c r="J753" s="13">
        <f t="shared" si="34"/>
        <v>0</v>
      </c>
      <c r="K753" s="13">
        <f t="shared" si="35"/>
        <v>15490.619999999999</v>
      </c>
    </row>
    <row r="754" spans="1:11" x14ac:dyDescent="0.25">
      <c r="A754" s="4" t="s">
        <v>796</v>
      </c>
      <c r="B754" s="4" t="s">
        <v>8</v>
      </c>
      <c r="C754" s="4" t="s">
        <v>237</v>
      </c>
      <c r="D754" s="12">
        <v>3</v>
      </c>
      <c r="E754" s="12">
        <v>0</v>
      </c>
      <c r="F754" s="13">
        <v>90459</v>
      </c>
      <c r="G754" s="14">
        <v>0.04</v>
      </c>
      <c r="H754" s="13">
        <v>0</v>
      </c>
      <c r="I754" s="15">
        <f t="shared" si="33"/>
        <v>0</v>
      </c>
      <c r="J754" s="13">
        <f t="shared" si="34"/>
        <v>0</v>
      </c>
      <c r="K754" s="13">
        <f t="shared" si="35"/>
        <v>3618.36</v>
      </c>
    </row>
    <row r="755" spans="1:11" x14ac:dyDescent="0.25">
      <c r="A755" s="4" t="s">
        <v>797</v>
      </c>
      <c r="B755" s="4" t="s">
        <v>8</v>
      </c>
      <c r="C755" s="4" t="s">
        <v>237</v>
      </c>
      <c r="D755" s="12">
        <v>6</v>
      </c>
      <c r="E755" s="12">
        <v>2</v>
      </c>
      <c r="F755" s="13">
        <v>39905</v>
      </c>
      <c r="G755" s="14">
        <v>0.39</v>
      </c>
      <c r="H755" s="13">
        <v>12984</v>
      </c>
      <c r="I755" s="15">
        <f t="shared" si="33"/>
        <v>0.33333333333333331</v>
      </c>
      <c r="J755" s="13">
        <f t="shared" si="34"/>
        <v>13301.666666666666</v>
      </c>
      <c r="K755" s="13">
        <f t="shared" si="35"/>
        <v>15562.95</v>
      </c>
    </row>
    <row r="756" spans="1:11" x14ac:dyDescent="0.25">
      <c r="A756" s="4" t="s">
        <v>798</v>
      </c>
      <c r="B756" s="4" t="s">
        <v>8</v>
      </c>
      <c r="C756" s="4" t="s">
        <v>237</v>
      </c>
      <c r="D756" s="12">
        <v>4</v>
      </c>
      <c r="E756" s="12">
        <v>1</v>
      </c>
      <c r="F756" s="13">
        <v>117509</v>
      </c>
      <c r="G756" s="14">
        <v>0.39</v>
      </c>
      <c r="H756" s="13">
        <v>28177</v>
      </c>
      <c r="I756" s="15">
        <f t="shared" si="33"/>
        <v>0.25</v>
      </c>
      <c r="J756" s="13">
        <f t="shared" si="34"/>
        <v>29377.25</v>
      </c>
      <c r="K756" s="13">
        <f t="shared" si="35"/>
        <v>45828.51</v>
      </c>
    </row>
    <row r="757" spans="1:11" x14ac:dyDescent="0.25">
      <c r="A757" s="4" t="s">
        <v>799</v>
      </c>
      <c r="B757" s="4" t="s">
        <v>8</v>
      </c>
      <c r="C757" s="4" t="s">
        <v>237</v>
      </c>
      <c r="D757" s="12">
        <v>3</v>
      </c>
      <c r="E757" s="12">
        <v>1</v>
      </c>
      <c r="F757" s="13">
        <v>7061</v>
      </c>
      <c r="G757" s="14">
        <v>0.46</v>
      </c>
      <c r="H757" s="13">
        <v>2587</v>
      </c>
      <c r="I757" s="15">
        <f t="shared" si="33"/>
        <v>0.33333333333333331</v>
      </c>
      <c r="J757" s="13">
        <f t="shared" si="34"/>
        <v>2353.6666666666665</v>
      </c>
      <c r="K757" s="13">
        <f t="shared" si="35"/>
        <v>3248.06</v>
      </c>
    </row>
    <row r="758" spans="1:11" x14ac:dyDescent="0.25">
      <c r="A758" s="4" t="s">
        <v>800</v>
      </c>
      <c r="B758" s="4" t="s">
        <v>8</v>
      </c>
      <c r="C758" s="4" t="s">
        <v>237</v>
      </c>
      <c r="D758" s="12">
        <v>2</v>
      </c>
      <c r="E758" s="12">
        <v>1</v>
      </c>
      <c r="F758" s="13">
        <v>242971</v>
      </c>
      <c r="G758" s="14">
        <v>0.65</v>
      </c>
      <c r="H758" s="13">
        <v>118998</v>
      </c>
      <c r="I758" s="15">
        <f t="shared" si="33"/>
        <v>0.5</v>
      </c>
      <c r="J758" s="13">
        <f t="shared" si="34"/>
        <v>121485.5</v>
      </c>
      <c r="K758" s="13">
        <f t="shared" si="35"/>
        <v>157931.15</v>
      </c>
    </row>
    <row r="759" spans="1:11" x14ac:dyDescent="0.25">
      <c r="A759" s="4" t="s">
        <v>801</v>
      </c>
      <c r="B759" s="4" t="s">
        <v>8</v>
      </c>
      <c r="C759" s="4" t="s">
        <v>237</v>
      </c>
      <c r="D759" s="12">
        <v>4</v>
      </c>
      <c r="E759" s="12">
        <v>1</v>
      </c>
      <c r="F759" s="13">
        <v>134618</v>
      </c>
      <c r="G759" s="14">
        <v>0.36</v>
      </c>
      <c r="H759" s="13">
        <v>34449</v>
      </c>
      <c r="I759" s="15">
        <f t="shared" si="33"/>
        <v>0.25</v>
      </c>
      <c r="J759" s="13">
        <f t="shared" si="34"/>
        <v>33654.5</v>
      </c>
      <c r="K759" s="13">
        <f t="shared" si="35"/>
        <v>48462.479999999996</v>
      </c>
    </row>
    <row r="760" spans="1:11" x14ac:dyDescent="0.25">
      <c r="A760" s="4" t="s">
        <v>802</v>
      </c>
      <c r="B760" s="4" t="s">
        <v>8</v>
      </c>
      <c r="C760" s="4" t="s">
        <v>237</v>
      </c>
      <c r="D760" s="12">
        <v>7</v>
      </c>
      <c r="E760" s="12">
        <v>3</v>
      </c>
      <c r="F760" s="13">
        <v>19319</v>
      </c>
      <c r="G760" s="14">
        <v>0.56000000000000005</v>
      </c>
      <c r="H760" s="13">
        <v>8982</v>
      </c>
      <c r="I760" s="15">
        <f t="shared" si="33"/>
        <v>0.42857142857142855</v>
      </c>
      <c r="J760" s="13">
        <f t="shared" si="34"/>
        <v>8279.5714285714275</v>
      </c>
      <c r="K760" s="13">
        <f t="shared" si="35"/>
        <v>10818.640000000001</v>
      </c>
    </row>
    <row r="761" spans="1:11" x14ac:dyDescent="0.25">
      <c r="A761" s="4" t="s">
        <v>803</v>
      </c>
      <c r="B761" s="4" t="s">
        <v>8</v>
      </c>
      <c r="C761" s="4" t="s">
        <v>237</v>
      </c>
      <c r="D761" s="12">
        <v>3</v>
      </c>
      <c r="E761" s="12">
        <v>0</v>
      </c>
      <c r="F761" s="13">
        <v>5207</v>
      </c>
      <c r="G761" s="14">
        <v>7.0000000000000007E-2</v>
      </c>
      <c r="H761" s="13">
        <v>0</v>
      </c>
      <c r="I761" s="15">
        <f t="shared" si="33"/>
        <v>0</v>
      </c>
      <c r="J761" s="13">
        <f t="shared" si="34"/>
        <v>0</v>
      </c>
      <c r="K761" s="13">
        <f t="shared" si="35"/>
        <v>364.49</v>
      </c>
    </row>
    <row r="762" spans="1:11" x14ac:dyDescent="0.25">
      <c r="A762" s="4" t="s">
        <v>804</v>
      </c>
      <c r="B762" s="4" t="s">
        <v>8</v>
      </c>
      <c r="C762" s="4" t="s">
        <v>237</v>
      </c>
      <c r="D762" s="12">
        <v>4</v>
      </c>
      <c r="E762" s="12">
        <v>1</v>
      </c>
      <c r="F762" s="13">
        <v>96758</v>
      </c>
      <c r="G762" s="14">
        <v>0.42</v>
      </c>
      <c r="H762" s="13">
        <v>26242</v>
      </c>
      <c r="I762" s="15">
        <f t="shared" si="33"/>
        <v>0.25</v>
      </c>
      <c r="J762" s="13">
        <f t="shared" si="34"/>
        <v>24189.5</v>
      </c>
      <c r="K762" s="13">
        <f t="shared" si="35"/>
        <v>40638.36</v>
      </c>
    </row>
    <row r="763" spans="1:11" x14ac:dyDescent="0.25">
      <c r="A763" s="4" t="s">
        <v>805</v>
      </c>
      <c r="B763" s="4" t="s">
        <v>8</v>
      </c>
      <c r="C763" s="4" t="s">
        <v>237</v>
      </c>
      <c r="D763" s="12">
        <v>1</v>
      </c>
      <c r="E763" s="12">
        <v>0</v>
      </c>
      <c r="F763" s="13">
        <v>30492</v>
      </c>
      <c r="G763" s="14">
        <v>0.15</v>
      </c>
      <c r="H763" s="13">
        <v>0</v>
      </c>
      <c r="I763" s="15">
        <f t="shared" si="33"/>
        <v>0</v>
      </c>
      <c r="J763" s="13">
        <f t="shared" si="34"/>
        <v>0</v>
      </c>
      <c r="K763" s="13">
        <f t="shared" si="35"/>
        <v>4573.8</v>
      </c>
    </row>
    <row r="764" spans="1:11" x14ac:dyDescent="0.25">
      <c r="A764" s="4" t="s">
        <v>806</v>
      </c>
      <c r="B764" s="4" t="s">
        <v>8</v>
      </c>
      <c r="C764" s="4" t="s">
        <v>237</v>
      </c>
      <c r="D764" s="12">
        <v>5</v>
      </c>
      <c r="E764" s="12">
        <v>2</v>
      </c>
      <c r="F764" s="13">
        <v>34579</v>
      </c>
      <c r="G764" s="14">
        <v>0.55000000000000004</v>
      </c>
      <c r="H764" s="13">
        <v>13338</v>
      </c>
      <c r="I764" s="15">
        <f t="shared" si="33"/>
        <v>0.4</v>
      </c>
      <c r="J764" s="13">
        <f t="shared" si="34"/>
        <v>13831.6</v>
      </c>
      <c r="K764" s="13">
        <f t="shared" si="35"/>
        <v>19018.45</v>
      </c>
    </row>
    <row r="765" spans="1:11" x14ac:dyDescent="0.25">
      <c r="A765" s="4" t="s">
        <v>807</v>
      </c>
      <c r="B765" s="4" t="s">
        <v>8</v>
      </c>
      <c r="C765" s="4" t="s">
        <v>237</v>
      </c>
      <c r="D765" s="12">
        <v>6</v>
      </c>
      <c r="E765" s="12">
        <v>3</v>
      </c>
      <c r="F765" s="13">
        <v>20740</v>
      </c>
      <c r="G765" s="14">
        <v>0.64</v>
      </c>
      <c r="H765" s="13">
        <v>9823</v>
      </c>
      <c r="I765" s="15">
        <f t="shared" si="33"/>
        <v>0.5</v>
      </c>
      <c r="J765" s="13">
        <f t="shared" si="34"/>
        <v>10370</v>
      </c>
      <c r="K765" s="13">
        <f t="shared" si="35"/>
        <v>13273.6</v>
      </c>
    </row>
    <row r="766" spans="1:11" x14ac:dyDescent="0.25">
      <c r="A766" s="4" t="s">
        <v>808</v>
      </c>
      <c r="B766" s="4" t="s">
        <v>8</v>
      </c>
      <c r="C766" s="4" t="s">
        <v>237</v>
      </c>
      <c r="D766" s="12">
        <v>2</v>
      </c>
      <c r="E766" s="12">
        <v>0</v>
      </c>
      <c r="F766" s="13">
        <v>6112</v>
      </c>
      <c r="G766" s="14">
        <v>0.12</v>
      </c>
      <c r="H766" s="13">
        <v>0</v>
      </c>
      <c r="I766" s="15">
        <f t="shared" si="33"/>
        <v>0</v>
      </c>
      <c r="J766" s="13">
        <f t="shared" si="34"/>
        <v>0</v>
      </c>
      <c r="K766" s="13">
        <f t="shared" si="35"/>
        <v>733.43999999999994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Civil</vt:lpstr>
      <vt:lpstr>Mecánica estática</vt:lpstr>
      <vt:lpstr>Rotativa</vt:lpstr>
      <vt:lpstr>Instrumentación</vt:lpstr>
      <vt:lpstr>Eléctrica</vt:lpstr>
      <vt:lpstr>Cálculo_Indicadores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Fabián Ernesto Ovalle</cp:lastModifiedBy>
  <cp:revision>0</cp:revision>
  <dcterms:created xsi:type="dcterms:W3CDTF">2026-07-19T20:48:28Z</dcterms:created>
  <dcterms:modified xsi:type="dcterms:W3CDTF">2026-07-19T20:54:34Z</dcterms:modified>
  <dc:language>en-US</dc:language>
</cp:coreProperties>
</file>